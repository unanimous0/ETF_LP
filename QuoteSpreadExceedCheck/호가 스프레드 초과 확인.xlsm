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AHAMA\Desktop\호가 스프레드 초과 확인\"/>
    </mc:Choice>
  </mc:AlternateContent>
  <xr:revisionPtr revIDLastSave="0" documentId="13_ncr:1_{5E5D5FC1-A0B7-4D2B-8370-2C39E90255C9}" xr6:coauthVersionLast="36" xr6:coauthVersionMax="36" xr10:uidLastSave="{00000000-0000-0000-0000-000000000000}"/>
  <bookViews>
    <workbookView xWindow="0" yWindow="0" windowWidth="28800" windowHeight="12390" xr2:uid="{00000000-000D-0000-FFFF-FFFF00000000}"/>
  </bookViews>
  <sheets>
    <sheet name="신고 스프레드 확인" sheetId="1" r:id="rId1"/>
    <sheet name="기록" sheetId="2" r:id="rId2"/>
    <sheet name="1시간 이상 초과" sheetId="3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11" i="1"/>
  <c r="B600" i="3" l="1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24" i="2" l="1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J211" i="1" l="1"/>
  <c r="J55" i="1"/>
  <c r="J323" i="1"/>
  <c r="J164" i="1"/>
  <c r="J170" i="1"/>
  <c r="J160" i="1"/>
  <c r="J318" i="1"/>
  <c r="J146" i="1"/>
  <c r="J116" i="1"/>
  <c r="J262" i="1"/>
  <c r="J143" i="1"/>
  <c r="J46" i="1"/>
  <c r="J74" i="1"/>
  <c r="J356" i="1"/>
  <c r="J281" i="1"/>
  <c r="J80" i="1"/>
  <c r="J221" i="1"/>
  <c r="J405" i="1"/>
  <c r="J289" i="1"/>
  <c r="J89" i="1"/>
  <c r="J381" i="1"/>
  <c r="J134" i="1"/>
  <c r="J309" i="1"/>
  <c r="J109" i="1"/>
  <c r="J340" i="1"/>
  <c r="J54" i="1"/>
  <c r="J404" i="1"/>
  <c r="J396" i="1"/>
  <c r="J193" i="1"/>
  <c r="J378" i="1"/>
  <c r="J291" i="1"/>
  <c r="J418" i="1"/>
  <c r="J224" i="1"/>
  <c r="J390" i="1"/>
  <c r="J279" i="1"/>
  <c r="J119" i="1"/>
  <c r="J250" i="1"/>
  <c r="J199" i="1"/>
  <c r="J374" i="1"/>
  <c r="J29" i="1"/>
  <c r="J185" i="1"/>
  <c r="J256" i="1"/>
  <c r="J95" i="1"/>
  <c r="J304" i="1"/>
  <c r="J344" i="1"/>
  <c r="J384" i="1"/>
  <c r="J205" i="1"/>
  <c r="J195" i="1"/>
  <c r="J12" i="1"/>
  <c r="J353" i="1"/>
  <c r="J158" i="1"/>
  <c r="J338" i="1"/>
  <c r="J212" i="1"/>
  <c r="J305" i="1"/>
  <c r="J315" i="1"/>
  <c r="I3" i="1"/>
  <c r="J3" i="1" s="1"/>
  <c r="J30" i="1"/>
  <c r="J414" i="1"/>
  <c r="J360" i="1"/>
  <c r="J136" i="1"/>
  <c r="J196" i="1"/>
  <c r="J294" i="1"/>
  <c r="J254" i="1"/>
  <c r="J31" i="1"/>
  <c r="J141" i="1"/>
  <c r="J178" i="1"/>
  <c r="J66" i="1"/>
  <c r="J346" i="1"/>
  <c r="J17" i="1"/>
  <c r="J379" i="1"/>
  <c r="J321" i="1"/>
  <c r="J208" i="1"/>
  <c r="J252" i="1"/>
  <c r="J120" i="1"/>
  <c r="J319" i="1"/>
  <c r="J201" i="1"/>
  <c r="J306" i="1"/>
  <c r="J203" i="1"/>
  <c r="J168" i="1"/>
  <c r="J188" i="1"/>
  <c r="J280" i="1"/>
  <c r="J169" i="1"/>
  <c r="J126" i="1"/>
  <c r="J246" i="1"/>
  <c r="J163" i="1"/>
  <c r="J297" i="1"/>
  <c r="J124" i="1"/>
  <c r="J65" i="1"/>
  <c r="J244" i="1"/>
  <c r="J36" i="1"/>
  <c r="J133" i="1"/>
  <c r="J229" i="1"/>
  <c r="J349" i="1"/>
  <c r="J330" i="1"/>
  <c r="J232" i="1"/>
  <c r="J350" i="1"/>
  <c r="J167" i="1"/>
  <c r="J184" i="1"/>
  <c r="J128" i="1"/>
  <c r="J33" i="1"/>
  <c r="I9" i="1"/>
  <c r="J9" i="1" s="1"/>
  <c r="J206" i="1"/>
  <c r="J22" i="1"/>
  <c r="J62" i="1"/>
  <c r="J207" i="1"/>
  <c r="J149" i="1"/>
  <c r="J151" i="1"/>
  <c r="J194" i="1"/>
  <c r="J122" i="1"/>
  <c r="J71" i="1"/>
  <c r="J81" i="1"/>
  <c r="J416" i="1"/>
  <c r="J403" i="1"/>
  <c r="J171" i="1"/>
  <c r="J25" i="1"/>
  <c r="J419" i="1"/>
  <c r="J380" i="1"/>
  <c r="J325" i="1"/>
  <c r="J90" i="1"/>
  <c r="J28" i="1"/>
  <c r="J155" i="1"/>
  <c r="J347" i="1"/>
  <c r="J189" i="1"/>
  <c r="J242" i="1"/>
  <c r="J383" i="1"/>
  <c r="J209" i="1"/>
  <c r="J87" i="1"/>
  <c r="J277" i="1"/>
  <c r="J329" i="1"/>
  <c r="J214" i="1"/>
  <c r="J154" i="1"/>
  <c r="J114" i="1"/>
  <c r="J288" i="1"/>
  <c r="J129" i="1"/>
  <c r="J86" i="1"/>
  <c r="J131" i="1"/>
  <c r="J222" i="1"/>
  <c r="J331" i="1"/>
  <c r="J249" i="1"/>
  <c r="J394" i="1"/>
  <c r="J270" i="1"/>
  <c r="J140" i="1"/>
  <c r="J179" i="1"/>
  <c r="J358" i="1"/>
  <c r="J328" i="1"/>
  <c r="J258" i="1"/>
  <c r="I7" i="1"/>
  <c r="J7" i="1" s="1"/>
  <c r="J220" i="1"/>
  <c r="J335" i="1"/>
  <c r="J322" i="1"/>
  <c r="J72" i="1"/>
  <c r="J274" i="1"/>
  <c r="J44" i="1"/>
  <c r="J354" i="1"/>
  <c r="J130" i="1"/>
  <c r="J13" i="1"/>
  <c r="J412" i="1"/>
  <c r="J186" i="1"/>
  <c r="J218" i="1"/>
  <c r="J300" i="1"/>
  <c r="J409" i="1"/>
  <c r="J273" i="1"/>
  <c r="J162" i="1"/>
  <c r="J200" i="1"/>
  <c r="J182" i="1"/>
  <c r="J406" i="1"/>
  <c r="J332" i="1"/>
  <c r="J45" i="1"/>
  <c r="I10" i="1"/>
  <c r="J10" i="1" s="1"/>
  <c r="J370" i="1"/>
  <c r="J342" i="1"/>
  <c r="J97" i="1"/>
  <c r="J359" i="1"/>
  <c r="J41" i="1"/>
  <c r="J253" i="1"/>
  <c r="J150" i="1"/>
  <c r="J113" i="1"/>
  <c r="J49" i="1"/>
  <c r="J372" i="1"/>
  <c r="J181" i="1"/>
  <c r="J106" i="1"/>
  <c r="J107" i="1"/>
  <c r="J308" i="1"/>
  <c r="J410" i="1"/>
  <c r="J156" i="1"/>
  <c r="J57" i="1"/>
  <c r="J387" i="1"/>
  <c r="J386" i="1"/>
  <c r="J172" i="1"/>
  <c r="J268" i="1"/>
  <c r="J327" i="1"/>
  <c r="J357" i="1"/>
  <c r="I5" i="1"/>
  <c r="J5" i="1" s="1"/>
  <c r="J399" i="1"/>
  <c r="J39" i="1"/>
  <c r="J69" i="1"/>
  <c r="J263" i="1"/>
  <c r="J324" i="1"/>
  <c r="J91" i="1"/>
  <c r="J231" i="1"/>
  <c r="J245" i="1"/>
  <c r="J367" i="1"/>
  <c r="J213" i="1"/>
  <c r="J228" i="1"/>
  <c r="J176" i="1"/>
  <c r="J326" i="1"/>
  <c r="J166" i="1"/>
  <c r="J239" i="1"/>
  <c r="J373" i="1"/>
  <c r="J255" i="1"/>
  <c r="J284" i="1"/>
  <c r="J217" i="1"/>
  <c r="J103" i="1"/>
  <c r="J191" i="1"/>
  <c r="J295" i="1"/>
  <c r="J272" i="1"/>
  <c r="J135" i="1"/>
  <c r="J47" i="1"/>
  <c r="J398" i="1"/>
  <c r="J307" i="1"/>
  <c r="J225" i="1"/>
  <c r="J234" i="1"/>
  <c r="J14" i="1"/>
  <c r="J227" i="1"/>
  <c r="J275" i="1"/>
  <c r="J235" i="1"/>
  <c r="J161" i="1"/>
  <c r="J314" i="1"/>
  <c r="J267" i="1"/>
  <c r="J198" i="1"/>
  <c r="J283" i="1"/>
  <c r="J303" i="1"/>
  <c r="J15" i="1"/>
  <c r="J145" i="1"/>
  <c r="I2" i="1"/>
  <c r="J105" i="1"/>
  <c r="J165" i="1"/>
  <c r="J38" i="1"/>
  <c r="J121" i="1"/>
  <c r="J248" i="1"/>
  <c r="J52" i="1"/>
  <c r="J216" i="1"/>
  <c r="J265" i="1"/>
  <c r="J415" i="1"/>
  <c r="J51" i="1"/>
  <c r="J389" i="1"/>
  <c r="J260" i="1"/>
  <c r="J230" i="1"/>
  <c r="J382" i="1"/>
  <c r="J261" i="1"/>
  <c r="J266" i="1"/>
  <c r="J88" i="1"/>
  <c r="J334" i="1"/>
  <c r="J393" i="1"/>
  <c r="J259" i="1"/>
  <c r="J402" i="1"/>
  <c r="J241" i="1"/>
  <c r="J34" i="1"/>
  <c r="J173" i="1"/>
  <c r="J395" i="1"/>
  <c r="J18" i="1"/>
  <c r="J352" i="1"/>
  <c r="J127" i="1"/>
  <c r="J345" i="1"/>
  <c r="J293" i="1"/>
  <c r="J226" i="1"/>
  <c r="J333" i="1"/>
  <c r="J413" i="1"/>
  <c r="J175" i="1"/>
  <c r="J204" i="1"/>
  <c r="J85" i="1"/>
  <c r="J257" i="1"/>
  <c r="J236" i="1"/>
  <c r="J93" i="1"/>
  <c r="J148" i="1"/>
  <c r="J96" i="1"/>
  <c r="J298" i="1"/>
  <c r="J337" i="1"/>
  <c r="J287" i="1"/>
  <c r="J99" i="1"/>
  <c r="J210" i="1"/>
  <c r="J269" i="1"/>
  <c r="J407" i="1"/>
  <c r="J61" i="1"/>
  <c r="J111" i="1"/>
  <c r="J302" i="1"/>
  <c r="J320" i="1"/>
  <c r="J296" i="1"/>
  <c r="J132" i="1"/>
  <c r="J104" i="1"/>
  <c r="J40" i="1"/>
  <c r="J197" i="1"/>
  <c r="J408" i="1"/>
  <c r="J153" i="1"/>
  <c r="J94" i="1"/>
  <c r="J92" i="1"/>
  <c r="J339" i="1"/>
  <c r="J310" i="1"/>
  <c r="J237" i="1"/>
  <c r="J144" i="1"/>
  <c r="J400" i="1"/>
  <c r="J388" i="1"/>
  <c r="J68" i="1"/>
  <c r="J152" i="1"/>
  <c r="J59" i="1"/>
  <c r="J215" i="1"/>
  <c r="J376" i="1"/>
  <c r="J312" i="1"/>
  <c r="J110" i="1"/>
  <c r="J147" i="1"/>
  <c r="J251" i="1"/>
  <c r="J137" i="1"/>
  <c r="J187" i="1"/>
  <c r="I4" i="1"/>
  <c r="J4" i="1" s="1"/>
  <c r="J219" i="1"/>
  <c r="J53" i="1"/>
  <c r="J101" i="1"/>
  <c r="J363" i="1"/>
  <c r="J190" i="1"/>
  <c r="J313" i="1"/>
  <c r="J264" i="1"/>
  <c r="J108" i="1"/>
  <c r="J177" i="1"/>
  <c r="J75" i="1"/>
  <c r="J377" i="1"/>
  <c r="J311" i="1"/>
  <c r="J183" i="1"/>
  <c r="J361" i="1"/>
  <c r="J159" i="1"/>
  <c r="I8" i="1"/>
  <c r="J8" i="1" s="1"/>
  <c r="J102" i="1"/>
  <c r="J365" i="1"/>
  <c r="J391" i="1"/>
  <c r="I6" i="1"/>
  <c r="J6" i="1" s="1"/>
  <c r="J21" i="1"/>
  <c r="J316" i="1"/>
  <c r="J392" i="1"/>
  <c r="J48" i="1"/>
  <c r="J282" i="1"/>
  <c r="J385" i="1"/>
  <c r="J112" i="1"/>
  <c r="J42" i="1"/>
  <c r="J174" i="1"/>
  <c r="J271" i="1"/>
  <c r="J98" i="1"/>
  <c r="J138" i="1"/>
  <c r="J125" i="1"/>
  <c r="J286" i="1"/>
  <c r="J63" i="1"/>
  <c r="J343" i="1"/>
  <c r="J19" i="1"/>
  <c r="J243" i="1"/>
  <c r="J78" i="1"/>
  <c r="J290" i="1"/>
  <c r="J336" i="1"/>
  <c r="J50" i="1"/>
  <c r="J27" i="1"/>
  <c r="J123" i="1"/>
  <c r="J157" i="1"/>
  <c r="J180" i="1"/>
  <c r="J317" i="1"/>
  <c r="J348" i="1"/>
  <c r="J366" i="1"/>
  <c r="J301" i="1"/>
  <c r="J20" i="1"/>
  <c r="J118" i="1"/>
  <c r="J117" i="1"/>
  <c r="J369" i="1"/>
  <c r="J82" i="1"/>
  <c r="J115" i="1"/>
  <c r="J202" i="1"/>
  <c r="J100" i="1"/>
  <c r="J362" i="1"/>
  <c r="J58" i="1"/>
  <c r="J375" i="1"/>
  <c r="J56" i="1"/>
  <c r="J240" i="1"/>
  <c r="J351" i="1"/>
  <c r="J142" i="1"/>
  <c r="J79" i="1"/>
  <c r="J341" i="1"/>
  <c r="J355" i="1"/>
  <c r="J43" i="1"/>
  <c r="J411" i="1"/>
  <c r="J233" i="1"/>
  <c r="J192" i="1"/>
  <c r="J285" i="1"/>
  <c r="J64" i="1"/>
  <c r="J139" i="1"/>
  <c r="J223" i="1"/>
  <c r="J371" i="1"/>
  <c r="J368" i="1"/>
  <c r="J276" i="1"/>
  <c r="J238" i="1"/>
  <c r="J247" i="1"/>
  <c r="J16" i="1"/>
  <c r="J77" i="1"/>
  <c r="J417" i="1"/>
  <c r="J84" i="1"/>
  <c r="J26" i="1"/>
  <c r="J364" i="1"/>
  <c r="J292" i="1"/>
  <c r="J83" i="1"/>
  <c r="J60" i="1"/>
  <c r="J401" i="1"/>
  <c r="J37" i="1"/>
  <c r="J278" i="1"/>
  <c r="J73" i="1"/>
  <c r="J32" i="1"/>
  <c r="J76" i="1"/>
  <c r="J35" i="1"/>
  <c r="J397" i="1"/>
  <c r="J24" i="1"/>
  <c r="J70" i="1"/>
  <c r="J299" i="1"/>
  <c r="J67" i="1"/>
  <c r="J11" i="1"/>
  <c r="J23" i="1"/>
  <c r="J2" i="1" l="1"/>
  <c r="M109" i="1" a="1"/>
  <c r="M109" i="1" s="1"/>
  <c r="O172" i="1" a="1"/>
  <c r="O172" i="1" s="1"/>
  <c r="P54" i="1" a="1"/>
  <c r="P54" i="1" s="1"/>
  <c r="Q201" i="1" a="1"/>
  <c r="Q201" i="1" s="1"/>
  <c r="O216" i="1" a="1"/>
  <c r="O216" i="1" s="1"/>
  <c r="N13" i="1" a="1"/>
  <c r="N13" i="1" s="1"/>
  <c r="O138" i="1" a="1"/>
  <c r="O138" i="1" s="1"/>
  <c r="Q207" i="1" a="1"/>
  <c r="Q207" i="1" s="1"/>
  <c r="M12" i="1" a="1"/>
  <c r="M12" i="1" s="1"/>
  <c r="N310" i="1" a="1"/>
  <c r="N310" i="1" s="1"/>
  <c r="Q67" i="1" a="1"/>
  <c r="Q67" i="1" s="1"/>
  <c r="O153" i="1" a="1"/>
  <c r="O153" i="1" s="1"/>
  <c r="P61" i="1" a="1"/>
  <c r="P61" i="1" s="1"/>
  <c r="O351" i="1" a="1"/>
  <c r="O351" i="1" s="1"/>
  <c r="P10" i="1" a="1"/>
  <c r="P10" i="1" s="1"/>
  <c r="P112" i="1" a="1"/>
  <c r="P112" i="1" s="1"/>
  <c r="Q49" i="1" a="1"/>
  <c r="Q49" i="1" s="1"/>
  <c r="P92" i="1" a="1"/>
  <c r="P92" i="1" s="1"/>
  <c r="P52" i="1" a="1"/>
  <c r="P52" i="1" s="1"/>
  <c r="Q218" i="1" a="1"/>
  <c r="Q218" i="1" s="1"/>
  <c r="P5" i="1" a="1"/>
  <c r="P5" i="1" s="1"/>
  <c r="N148" i="1" a="1"/>
  <c r="N148" i="1" s="1"/>
  <c r="M232" i="1" a="1"/>
  <c r="M232" i="1" s="1"/>
  <c r="N84" i="1" a="1"/>
  <c r="N84" i="1" s="1"/>
  <c r="P177" i="1" a="1"/>
  <c r="P177" i="1" s="1"/>
  <c r="P331" i="1" a="1"/>
  <c r="P331" i="1" s="1"/>
  <c r="Q17" i="1" a="1"/>
  <c r="Q17" i="1" s="1"/>
  <c r="M173" i="1" a="1"/>
  <c r="M173" i="1" s="1"/>
  <c r="O30" i="1" a="1"/>
  <c r="O30" i="1" s="1"/>
  <c r="M103" i="1" a="1"/>
  <c r="M103" i="1" s="1"/>
  <c r="Q258" i="1" a="1"/>
  <c r="Q258" i="1" s="1"/>
  <c r="Q33" i="1" a="1"/>
  <c r="Q33" i="1" s="1"/>
  <c r="O133" i="1" a="1"/>
  <c r="O133" i="1" s="1"/>
  <c r="P165" i="1" a="1"/>
  <c r="P165" i="1" s="1"/>
  <c r="O69" i="1" a="1"/>
  <c r="O69" i="1" s="1"/>
  <c r="N117" i="1" a="1"/>
  <c r="N117" i="1" s="1"/>
  <c r="Q122" i="1" a="1"/>
  <c r="Q122" i="1" s="1"/>
  <c r="N41" i="1" a="1"/>
  <c r="N41" i="1" s="1"/>
  <c r="P168" i="1" a="1"/>
  <c r="P168" i="1" s="1"/>
  <c r="N225" i="1" a="1"/>
  <c r="N225" i="1" s="1"/>
  <c r="Q321" i="1" a="1"/>
  <c r="Q321" i="1" s="1"/>
  <c r="N38" i="1" a="1"/>
  <c r="N38" i="1" s="1"/>
  <c r="P211" i="1" a="1"/>
  <c r="P211" i="1" s="1"/>
  <c r="O161" i="1" a="1"/>
  <c r="O161" i="1" s="1"/>
  <c r="O35" i="1" a="1"/>
  <c r="O35" i="1" s="1"/>
  <c r="P398" i="1" a="1"/>
  <c r="P398" i="1" s="1"/>
  <c r="N257" i="1" a="1"/>
  <c r="N257" i="1" s="1"/>
  <c r="M53" i="1" a="1"/>
  <c r="M53" i="1" s="1"/>
  <c r="O241" i="1" a="1"/>
  <c r="O241" i="1" s="1"/>
  <c r="N179" i="1" a="1"/>
  <c r="N179" i="1" s="1"/>
  <c r="N79" i="1" a="1"/>
  <c r="N79" i="1" s="1"/>
  <c r="O247" i="1" a="1"/>
  <c r="O247" i="1" s="1"/>
  <c r="O137" i="1" a="1"/>
  <c r="O137" i="1" s="1"/>
  <c r="M168" i="1" a="1"/>
  <c r="M168" i="1" s="1"/>
  <c r="Q44" i="1" a="1"/>
  <c r="Q44" i="1" s="1"/>
  <c r="O226" i="1" a="1"/>
  <c r="O226" i="1" s="1"/>
  <c r="P180" i="1" a="1"/>
  <c r="P180" i="1" s="1"/>
  <c r="M7" i="1" a="1"/>
  <c r="M7" i="1" s="1"/>
  <c r="M164" i="1" a="1"/>
  <c r="M164" i="1" s="1"/>
  <c r="P205" i="1" a="1"/>
  <c r="P205" i="1" s="1"/>
  <c r="M72" i="1" a="1"/>
  <c r="M72" i="1" s="1"/>
  <c r="N274" i="1" a="1"/>
  <c r="N274" i="1" s="1"/>
  <c r="M249" i="1" a="1"/>
  <c r="M249" i="1" s="1"/>
  <c r="M126" i="1" a="1"/>
  <c r="M126" i="1" s="1"/>
  <c r="M92" i="1" a="1"/>
  <c r="M92" i="1" s="1"/>
  <c r="P227" i="1" a="1"/>
  <c r="P227" i="1" s="1"/>
  <c r="Q62" i="1" a="1"/>
  <c r="Q62" i="1" s="1"/>
  <c r="O132" i="1" a="1"/>
  <c r="O132" i="1" s="1"/>
  <c r="N98" i="1" a="1"/>
  <c r="N98" i="1" s="1"/>
  <c r="Q259" i="1" a="1"/>
  <c r="Q259" i="1" s="1"/>
  <c r="Q210" i="1" a="1"/>
  <c r="Q210" i="1" s="1"/>
  <c r="M137" i="1" a="1"/>
  <c r="M137" i="1" s="1"/>
  <c r="M156" i="1" a="1"/>
  <c r="M156" i="1" s="1"/>
  <c r="M76" i="1" a="1"/>
  <c r="M76" i="1" s="1"/>
  <c r="N206" i="1" a="1"/>
  <c r="N206" i="1" s="1"/>
  <c r="P120" i="1" a="1"/>
  <c r="P120" i="1" s="1"/>
  <c r="P8" i="1" a="1"/>
  <c r="P8" i="1" s="1"/>
  <c r="O219" i="1" a="1"/>
  <c r="O219" i="1" s="1"/>
  <c r="P309" i="1" a="1"/>
  <c r="P309" i="1" s="1"/>
  <c r="M81" i="1" a="1"/>
  <c r="M81" i="1" s="1"/>
  <c r="M260" i="1" a="1"/>
  <c r="M260" i="1" s="1"/>
  <c r="P80" i="1" a="1"/>
  <c r="P80" i="1" s="1"/>
  <c r="O14" i="1" a="1"/>
  <c r="O14" i="1" s="1"/>
  <c r="M6" i="1" a="1"/>
  <c r="M6" i="1" s="1"/>
  <c r="Q196" i="1" a="1"/>
  <c r="Q196" i="1" s="1"/>
  <c r="N311" i="1" a="1"/>
  <c r="N311" i="1" s="1"/>
  <c r="N110" i="1" a="1"/>
  <c r="N110" i="1" s="1"/>
  <c r="Q167" i="1" a="1"/>
  <c r="Q167" i="1" s="1"/>
  <c r="P25" i="1" a="1"/>
  <c r="P25" i="1" s="1"/>
  <c r="P107" i="1" a="1"/>
  <c r="P107" i="1" s="1"/>
  <c r="P130" i="1" a="1"/>
  <c r="P130" i="1" s="1"/>
  <c r="O57" i="1" a="1"/>
  <c r="O57" i="1" s="1"/>
  <c r="M247" i="1" a="1"/>
  <c r="M247" i="1" s="1"/>
  <c r="N170" i="1" a="1"/>
  <c r="N170" i="1" s="1"/>
  <c r="P36" i="1" a="1"/>
  <c r="P36" i="1" s="1"/>
  <c r="O245" i="1" a="1"/>
  <c r="O245" i="1" s="1"/>
  <c r="N144" i="1" a="1"/>
  <c r="N144" i="1" s="1"/>
  <c r="P64" i="1" a="1"/>
  <c r="P64" i="1" s="1"/>
  <c r="P74" i="1" a="1"/>
  <c r="P74" i="1" s="1"/>
  <c r="P185" i="1" a="1"/>
  <c r="P185" i="1" s="1"/>
  <c r="N251" i="1" a="1"/>
  <c r="N251" i="1" s="1"/>
  <c r="Q114" i="1" a="1"/>
  <c r="Q114" i="1" s="1"/>
  <c r="N46" i="1" a="1"/>
  <c r="N46" i="1" s="1"/>
  <c r="Q108" i="1" a="1"/>
  <c r="Q108" i="1" s="1"/>
  <c r="M69" i="1" a="1"/>
  <c r="M69" i="1" s="1"/>
  <c r="M178" i="1" a="1"/>
  <c r="M178" i="1" s="1"/>
  <c r="N95" i="1" a="1"/>
  <c r="N95" i="1" s="1"/>
  <c r="P142" i="1" a="1"/>
  <c r="P142" i="1" s="1"/>
  <c r="P238" i="1" a="1"/>
  <c r="P238" i="1" s="1"/>
  <c r="P191" i="1" a="1"/>
  <c r="P191" i="1" s="1"/>
  <c r="O82" i="1" a="1"/>
  <c r="O82" i="1" s="1"/>
  <c r="N83" i="1" a="1"/>
  <c r="N83" i="1" s="1"/>
  <c r="Q99" i="1" a="1"/>
  <c r="Q99" i="1" s="1"/>
  <c r="P163" i="1" a="1"/>
  <c r="P163" i="1" s="1"/>
  <c r="N91" i="1" a="1"/>
  <c r="N91" i="1" s="1"/>
  <c r="P266" i="1" a="1"/>
  <c r="P266" i="1" s="1"/>
  <c r="M70" i="1" a="1"/>
  <c r="M70" i="1" s="1"/>
  <c r="Q27" i="1" a="1"/>
  <c r="Q27" i="1" s="1"/>
  <c r="P138" i="1" a="1"/>
  <c r="P138" i="1" s="1"/>
  <c r="N201" i="1" a="1"/>
  <c r="N201" i="1" s="1"/>
  <c r="O39" i="1" a="1"/>
  <c r="O39" i="1" s="1"/>
  <c r="N314" i="1" a="1"/>
  <c r="N314" i="1" s="1"/>
  <c r="O170" i="1" a="1"/>
  <c r="O170" i="1" s="1"/>
  <c r="N39" i="1" a="1"/>
  <c r="N39" i="1" s="1"/>
  <c r="P86" i="1" a="1"/>
  <c r="P86" i="1" s="1"/>
  <c r="N128" i="1" a="1"/>
  <c r="N128" i="1" s="1"/>
  <c r="O229" i="1" a="1"/>
  <c r="O229" i="1" s="1"/>
  <c r="P27" i="1" a="1"/>
  <c r="P27" i="1" s="1"/>
  <c r="N208" i="1" a="1"/>
  <c r="N208" i="1" s="1"/>
  <c r="M155" i="1" a="1"/>
  <c r="M155" i="1" s="1"/>
  <c r="P167" i="1" a="1"/>
  <c r="P167" i="1" s="1"/>
  <c r="N42" i="1" a="1"/>
  <c r="N42" i="1" s="1"/>
  <c r="Q103" i="1" a="1"/>
  <c r="Q103" i="1" s="1"/>
  <c r="O78" i="1" a="1"/>
  <c r="O78" i="1" s="1"/>
  <c r="P93" i="1" a="1"/>
  <c r="P93" i="1" s="1"/>
  <c r="N62" i="1" a="1"/>
  <c r="N62" i="1" s="1"/>
  <c r="Q165" i="1" a="1"/>
  <c r="Q165" i="1" s="1"/>
  <c r="P60" i="1" a="1"/>
  <c r="P60" i="1" s="1"/>
  <c r="O136" i="1" a="1"/>
  <c r="O136" i="1" s="1"/>
  <c r="O165" i="1" a="1"/>
  <c r="O165" i="1" s="1"/>
  <c r="O77" i="1" a="1"/>
  <c r="O77" i="1" s="1"/>
  <c r="Q26" i="1" a="1"/>
  <c r="Q26" i="1" s="1"/>
  <c r="P313" i="1" a="1"/>
  <c r="P313" i="1" s="1"/>
  <c r="Q186" i="1" a="1"/>
  <c r="Q186" i="1" s="1"/>
  <c r="O31" i="1" a="1"/>
  <c r="O31" i="1" s="1"/>
  <c r="P194" i="1" a="1"/>
  <c r="P194" i="1" s="1"/>
  <c r="P72" i="1" a="1"/>
  <c r="P72" i="1" s="1"/>
  <c r="O87" i="1" a="1"/>
  <c r="O87" i="1" s="1"/>
  <c r="M221" i="1" a="1"/>
  <c r="M221" i="1" s="1"/>
  <c r="N116" i="1" a="1"/>
  <c r="N116" i="1" s="1"/>
  <c r="Q45" i="1" a="1"/>
  <c r="Q45" i="1" s="1"/>
  <c r="N232" i="1" a="1"/>
  <c r="N232" i="1" s="1"/>
  <c r="M405" i="1" a="1"/>
  <c r="M405" i="1" s="1"/>
  <c r="M134" i="1" a="1"/>
  <c r="M134" i="1" s="1"/>
  <c r="O177" i="1" a="1"/>
  <c r="O177" i="1" s="1"/>
  <c r="Q28" i="1" a="1"/>
  <c r="Q28" i="1" s="1"/>
  <c r="O25" i="1" a="1"/>
  <c r="O25" i="1" s="1"/>
  <c r="Q185" i="1" a="1"/>
  <c r="Q185" i="1" s="1"/>
  <c r="R185" i="1" s="1"/>
  <c r="O103" i="1" a="1"/>
  <c r="O103" i="1" s="1"/>
  <c r="O15" i="1" a="1"/>
  <c r="O15" i="1" s="1"/>
  <c r="O188" i="1" a="1"/>
  <c r="O188" i="1" s="1"/>
  <c r="M28" i="1" a="1"/>
  <c r="M28" i="1" s="1"/>
  <c r="Q270" i="1" a="1"/>
  <c r="Q270" i="1" s="1"/>
  <c r="N316" i="1" a="1"/>
  <c r="N316" i="1" s="1"/>
  <c r="P30" i="1" a="1"/>
  <c r="P30" i="1" s="1"/>
  <c r="M114" i="1" a="1"/>
  <c r="M114" i="1" s="1"/>
  <c r="P181" i="1" a="1"/>
  <c r="P181" i="1" s="1"/>
  <c r="M34" i="1" a="1"/>
  <c r="M34" i="1" s="1"/>
  <c r="Q159" i="1" a="1"/>
  <c r="Q159" i="1" s="1"/>
  <c r="M379" i="1" a="1"/>
  <c r="M379" i="1" s="1"/>
  <c r="N94" i="1" a="1"/>
  <c r="N94" i="1" s="1"/>
  <c r="Q141" i="1" a="1"/>
  <c r="Q141" i="1" s="1"/>
  <c r="P46" i="1" a="1"/>
  <c r="P46" i="1" s="1"/>
  <c r="M25" i="1" a="1"/>
  <c r="M25" i="1" s="1"/>
  <c r="N153" i="1" a="1"/>
  <c r="N153" i="1" s="1"/>
  <c r="O264" i="1" a="1"/>
  <c r="O264" i="1" s="1"/>
  <c r="M208" i="1" a="1"/>
  <c r="M208" i="1" s="1"/>
  <c r="O46" i="1" a="1"/>
  <c r="O46" i="1" s="1"/>
  <c r="Q58" i="1" a="1"/>
  <c r="Q58" i="1" s="1"/>
  <c r="P232" i="1" a="1"/>
  <c r="P232" i="1" s="1"/>
  <c r="O118" i="1" a="1"/>
  <c r="O118" i="1" s="1"/>
  <c r="P16" i="1" a="1"/>
  <c r="P16" i="1" s="1"/>
  <c r="M250" i="1" a="1"/>
  <c r="M250" i="1" s="1"/>
  <c r="N161" i="1" a="1"/>
  <c r="N161" i="1" s="1"/>
  <c r="Q34" i="1" a="1"/>
  <c r="Q34" i="1" s="1"/>
  <c r="O295" i="1" a="1"/>
  <c r="O295" i="1" s="1"/>
  <c r="Q182" i="1" a="1"/>
  <c r="Q182" i="1" s="1"/>
  <c r="M143" i="1" a="1"/>
  <c r="M143" i="1" s="1"/>
  <c r="O8" i="1" a="1"/>
  <c r="O8" i="1" s="1"/>
  <c r="N404" i="1" a="1"/>
  <c r="N404" i="1" s="1"/>
  <c r="Q64" i="1" a="1"/>
  <c r="Q64" i="1" s="1"/>
  <c r="Q104" i="1" a="1"/>
  <c r="Q104" i="1" s="1"/>
  <c r="M203" i="1" a="1"/>
  <c r="M203" i="1" s="1"/>
  <c r="M47" i="1" a="1"/>
  <c r="M47" i="1" s="1"/>
  <c r="O97" i="1" a="1"/>
  <c r="O97" i="1" s="1"/>
  <c r="O212" i="1" a="1"/>
  <c r="O212" i="1" s="1"/>
  <c r="N191" i="1" a="1"/>
  <c r="N191" i="1" s="1"/>
  <c r="Q73" i="1" a="1"/>
  <c r="Q73" i="1" s="1"/>
  <c r="M61" i="1" a="1"/>
  <c r="M61" i="1" s="1"/>
  <c r="O50" i="1" a="1"/>
  <c r="O50" i="1" s="1"/>
  <c r="M243" i="1" a="1"/>
  <c r="M243" i="1" s="1"/>
  <c r="O102" i="1" a="1"/>
  <c r="O102" i="1" s="1"/>
  <c r="Q232" i="1" a="1"/>
  <c r="Q232" i="1" s="1"/>
  <c r="M161" i="1" a="1"/>
  <c r="M161" i="1" s="1"/>
  <c r="P42" i="1" a="1"/>
  <c r="P42" i="1" s="1"/>
  <c r="O217" i="1" a="1"/>
  <c r="O217" i="1" s="1"/>
  <c r="N207" i="1" a="1"/>
  <c r="N207" i="1" s="1"/>
  <c r="N82" i="1" a="1"/>
  <c r="N82" i="1" s="1"/>
  <c r="N250" i="1" a="1"/>
  <c r="N250" i="1" s="1"/>
  <c r="N87" i="1" a="1"/>
  <c r="N87" i="1" s="1"/>
  <c r="N194" i="1" a="1"/>
  <c r="N194" i="1" s="1"/>
  <c r="M100" i="1" a="1"/>
  <c r="M100" i="1" s="1"/>
  <c r="P136" i="1" a="1"/>
  <c r="P136" i="1" s="1"/>
  <c r="N125" i="1" a="1"/>
  <c r="N125" i="1" s="1"/>
  <c r="P23" i="1" a="1"/>
  <c r="P23" i="1" s="1"/>
  <c r="Q95" i="1" a="1"/>
  <c r="Q95" i="1" s="1"/>
  <c r="N193" i="1" a="1"/>
  <c r="N193" i="1" s="1"/>
  <c r="M112" i="1" a="1"/>
  <c r="M112" i="1" s="1"/>
  <c r="M147" i="1" a="1"/>
  <c r="M147" i="1" s="1"/>
  <c r="M60" i="1" a="1"/>
  <c r="M60" i="1" s="1"/>
  <c r="P127" i="1" a="1"/>
  <c r="P127" i="1" s="1"/>
  <c r="M66" i="1" a="1"/>
  <c r="M66" i="1" s="1"/>
  <c r="O395" i="1" a="1"/>
  <c r="O395" i="1" s="1"/>
  <c r="Q139" i="1" a="1"/>
  <c r="Q139" i="1" s="1"/>
  <c r="Q13" i="1" a="1"/>
  <c r="Q13" i="1" s="1"/>
  <c r="M51" i="1" a="1"/>
  <c r="M51" i="1" s="1"/>
  <c r="Q205" i="1" a="1"/>
  <c r="Q205" i="1" s="1"/>
  <c r="R205" i="1" s="1"/>
  <c r="O122" i="1" a="1"/>
  <c r="O122" i="1" s="1"/>
  <c r="Q135" i="1" a="1"/>
  <c r="Q135" i="1" s="1"/>
  <c r="Q163" i="1" a="1"/>
  <c r="Q163" i="1" s="1"/>
  <c r="O40" i="1" a="1"/>
  <c r="O40" i="1" s="1"/>
  <c r="O92" i="1" a="1"/>
  <c r="O92" i="1" s="1"/>
  <c r="O194" i="1" a="1"/>
  <c r="O194" i="1" s="1"/>
  <c r="P102" i="1" a="1"/>
  <c r="P102" i="1" s="1"/>
  <c r="Q153" i="1" a="1"/>
  <c r="Q153" i="1" s="1"/>
  <c r="N197" i="1" a="1"/>
  <c r="N197" i="1" s="1"/>
  <c r="N10" i="1" a="1"/>
  <c r="N10" i="1" s="1"/>
  <c r="P115" i="1" a="1"/>
  <c r="P115" i="1" s="1"/>
  <c r="M144" i="1" a="1"/>
  <c r="M144" i="1" s="1"/>
  <c r="M201" i="1" a="1"/>
  <c r="M201" i="1" s="1"/>
  <c r="P28" i="1" a="1"/>
  <c r="P28" i="1" s="1"/>
  <c r="N147" i="1" a="1"/>
  <c r="N147" i="1" s="1"/>
  <c r="O251" i="1" a="1"/>
  <c r="O251" i="1" s="1"/>
  <c r="Q68" i="1" a="1"/>
  <c r="Q68" i="1" s="1"/>
  <c r="N18" i="1" a="1"/>
  <c r="N18" i="1" s="1"/>
  <c r="O159" i="1" a="1"/>
  <c r="O159" i="1" s="1"/>
  <c r="M86" i="1" a="1"/>
  <c r="M86" i="1" s="1"/>
  <c r="M274" i="1" a="1"/>
  <c r="M274" i="1" s="1"/>
  <c r="N256" i="1" a="1"/>
  <c r="N256" i="1" s="1"/>
  <c r="O112" i="1" a="1"/>
  <c r="O112" i="1" s="1"/>
  <c r="N16" i="1" a="1"/>
  <c r="N16" i="1" s="1"/>
  <c r="Q47" i="1" a="1"/>
  <c r="Q47" i="1" s="1"/>
  <c r="M132" i="1" a="1"/>
  <c r="M132" i="1" s="1"/>
  <c r="M225" i="1" a="1"/>
  <c r="M225" i="1" s="1"/>
  <c r="O398" i="1" a="1"/>
  <c r="O398" i="1" s="1"/>
  <c r="Q102" i="1" a="1"/>
  <c r="Q102" i="1" s="1"/>
  <c r="P56" i="1" a="1"/>
  <c r="P56" i="1" s="1"/>
  <c r="O94" i="1" a="1"/>
  <c r="O94" i="1" s="1"/>
  <c r="Q14" i="1" a="1"/>
  <c r="Q14" i="1" s="1"/>
  <c r="Q78" i="1" a="1"/>
  <c r="Q78" i="1" s="1"/>
  <c r="P94" i="1" a="1"/>
  <c r="P94" i="1" s="1"/>
  <c r="P133" i="1" a="1"/>
  <c r="P133" i="1" s="1"/>
  <c r="Q37" i="1" a="1"/>
  <c r="Q37" i="1" s="1"/>
  <c r="N186" i="1" a="1"/>
  <c r="N186" i="1" s="1"/>
  <c r="P294" i="1" a="1"/>
  <c r="P294" i="1" s="1"/>
  <c r="M9" i="1" a="1"/>
  <c r="M9" i="1" s="1"/>
  <c r="Q242" i="1" a="1"/>
  <c r="Q242" i="1" s="1"/>
  <c r="Q161" i="1" a="1"/>
  <c r="Q161" i="1" s="1"/>
  <c r="O86" i="1" a="1"/>
  <c r="O86" i="1" s="1"/>
  <c r="P260" i="1" a="1"/>
  <c r="P260" i="1" s="1"/>
  <c r="M153" i="1" a="1"/>
  <c r="M153" i="1" s="1"/>
  <c r="M19" i="1" a="1"/>
  <c r="M19" i="1" s="1"/>
  <c r="O24" i="1" a="1"/>
  <c r="O24" i="1" s="1"/>
  <c r="O197" i="1" a="1"/>
  <c r="O197" i="1" s="1"/>
  <c r="M261" i="1" a="1"/>
  <c r="M261" i="1" s="1"/>
  <c r="N106" i="1" a="1"/>
  <c r="N106" i="1" s="1"/>
  <c r="P104" i="1" a="1"/>
  <c r="P104" i="1" s="1"/>
  <c r="Q96" i="1" a="1"/>
  <c r="Q96" i="1" s="1"/>
  <c r="P212" i="1" a="1"/>
  <c r="P212" i="1" s="1"/>
  <c r="M3" i="1" a="1"/>
  <c r="M3" i="1" s="1"/>
  <c r="O206" i="1" a="1"/>
  <c r="O206" i="1" s="1"/>
  <c r="P135" i="1" a="1"/>
  <c r="P135" i="1" s="1"/>
  <c r="O83" i="1" a="1"/>
  <c r="O83" i="1" s="1"/>
  <c r="P111" i="1" a="1"/>
  <c r="P111" i="1" s="1"/>
  <c r="M119" i="1" a="1"/>
  <c r="M119" i="1" s="1"/>
  <c r="M49" i="1" a="1"/>
  <c r="M49" i="1" s="1"/>
  <c r="M88" i="1" a="1"/>
  <c r="M88" i="1" s="1"/>
  <c r="M138" i="1" a="1"/>
  <c r="M138" i="1" s="1"/>
  <c r="P161" i="1" a="1"/>
  <c r="P161" i="1" s="1"/>
  <c r="Q9" i="1" a="1"/>
  <c r="Q9" i="1" s="1"/>
  <c r="Q110" i="1" a="1"/>
  <c r="Q110" i="1" s="1"/>
  <c r="N123" i="1" a="1"/>
  <c r="N123" i="1" s="1"/>
  <c r="P4" i="1" a="1"/>
  <c r="P4" i="1" s="1"/>
  <c r="M43" i="1" a="1"/>
  <c r="M43" i="1" s="1"/>
  <c r="Q227" i="1" a="1"/>
  <c r="Q227" i="1" s="1"/>
  <c r="M330" i="1" a="1"/>
  <c r="M330" i="1" s="1"/>
  <c r="M83" i="1" a="1"/>
  <c r="M83" i="1" s="1"/>
  <c r="N203" i="1" a="1"/>
  <c r="N203" i="1" s="1"/>
  <c r="P155" i="1" a="1"/>
  <c r="P155" i="1" s="1"/>
  <c r="O187" i="1" a="1"/>
  <c r="O187" i="1" s="1"/>
  <c r="Q166" i="1" a="1"/>
  <c r="Q166" i="1" s="1"/>
  <c r="P251" i="1" a="1"/>
  <c r="P251" i="1" s="1"/>
  <c r="N88" i="1" a="1"/>
  <c r="N88" i="1" s="1"/>
  <c r="O75" i="1" a="1"/>
  <c r="O75" i="1" s="1"/>
  <c r="O190" i="1" a="1"/>
  <c r="O190" i="1" s="1"/>
  <c r="N196" i="1" a="1"/>
  <c r="N196" i="1" s="1"/>
  <c r="N100" i="1" a="1"/>
  <c r="N100" i="1" s="1"/>
  <c r="Q32" i="1" a="1"/>
  <c r="Q32" i="1" s="1"/>
  <c r="P209" i="1" a="1"/>
  <c r="P209" i="1" s="1"/>
  <c r="Q97" i="1" a="1"/>
  <c r="Q97" i="1" s="1"/>
  <c r="P157" i="1" a="1"/>
  <c r="P157" i="1" s="1"/>
  <c r="M94" i="1" a="1"/>
  <c r="M94" i="1" s="1"/>
  <c r="M128" i="1" a="1"/>
  <c r="M128" i="1" s="1"/>
  <c r="Q176" i="1" a="1"/>
  <c r="Q176" i="1" s="1"/>
  <c r="M234" i="1" a="1"/>
  <c r="M234" i="1" s="1"/>
  <c r="Q80" i="1" a="1"/>
  <c r="Q80" i="1" s="1"/>
  <c r="M110" i="1" a="1"/>
  <c r="M110" i="1" s="1"/>
  <c r="Q15" i="1" a="1"/>
  <c r="Q15" i="1" s="1"/>
  <c r="N26" i="1" a="1"/>
  <c r="N26" i="1" s="1"/>
  <c r="P38" i="1" a="1"/>
  <c r="P38" i="1" s="1"/>
  <c r="P225" i="1" a="1"/>
  <c r="P225" i="1" s="1"/>
  <c r="Q20" i="1" a="1"/>
  <c r="Q20" i="1" s="1"/>
  <c r="P140" i="1" a="1"/>
  <c r="P140" i="1" s="1"/>
  <c r="O117" i="1" a="1"/>
  <c r="O117" i="1" s="1"/>
  <c r="N214" i="1" a="1"/>
  <c r="N214" i="1" s="1"/>
  <c r="Q10" i="1" a="1"/>
  <c r="Q10" i="1" s="1"/>
  <c r="Q8" i="1" a="1"/>
  <c r="Q8" i="1" s="1"/>
  <c r="R8" i="1" s="1"/>
  <c r="N219" i="1" a="1"/>
  <c r="N219" i="1" s="1"/>
  <c r="O70" i="1" a="1"/>
  <c r="O70" i="1" s="1"/>
  <c r="O62" i="1" a="1"/>
  <c r="O62" i="1" s="1"/>
  <c r="P249" i="1" a="1"/>
  <c r="P249" i="1" s="1"/>
  <c r="Q169" i="1" a="1"/>
  <c r="Q169" i="1" s="1"/>
  <c r="Q101" i="1" a="1"/>
  <c r="Q101" i="1" s="1"/>
  <c r="N350" i="1" a="1"/>
  <c r="N350" i="1" s="1"/>
  <c r="M46" i="1" a="1"/>
  <c r="M46" i="1" s="1"/>
  <c r="P109" i="1" a="1"/>
  <c r="P109" i="1" s="1"/>
  <c r="M166" i="1" a="1"/>
  <c r="M166" i="1" s="1"/>
  <c r="Q209" i="1" a="1"/>
  <c r="Q209" i="1" s="1"/>
  <c r="N36" i="1" a="1"/>
  <c r="N36" i="1" s="1"/>
  <c r="N223" i="1" a="1"/>
  <c r="N223" i="1" s="1"/>
  <c r="Q48" i="1" a="1"/>
  <c r="Q48" i="1" s="1"/>
  <c r="N130" i="1" a="1"/>
  <c r="N130" i="1" s="1"/>
  <c r="O199" i="1" a="1"/>
  <c r="O199" i="1" s="1"/>
  <c r="N118" i="1" a="1"/>
  <c r="N118" i="1" s="1"/>
  <c r="O191" i="1" a="1"/>
  <c r="O191" i="1" s="1"/>
  <c r="M99" i="1" a="1"/>
  <c r="M99" i="1" s="1"/>
  <c r="M172" i="1" a="1"/>
  <c r="M172" i="1" s="1"/>
  <c r="O41" i="1" a="1"/>
  <c r="O41" i="1" s="1"/>
  <c r="N17" i="1" a="1"/>
  <c r="N17" i="1" s="1"/>
  <c r="M54" i="1" a="1"/>
  <c r="M54" i="1" s="1"/>
  <c r="Q94" i="1" a="1"/>
  <c r="Q94" i="1" s="1"/>
  <c r="R94" i="1" s="1"/>
  <c r="Q131" i="1" a="1"/>
  <c r="Q131" i="1" s="1"/>
  <c r="O189" i="1" a="1"/>
  <c r="O189" i="1" s="1"/>
  <c r="Q107" i="1" a="1"/>
  <c r="Q107" i="1" s="1"/>
  <c r="R107" i="1" s="1"/>
  <c r="M118" i="1" a="1"/>
  <c r="M118" i="1" s="1"/>
  <c r="N115" i="1" a="1"/>
  <c r="N115" i="1" s="1"/>
  <c r="M96" i="1" a="1"/>
  <c r="M96" i="1" s="1"/>
  <c r="P152" i="1" a="1"/>
  <c r="P152" i="1" s="1"/>
  <c r="O106" i="1" a="1"/>
  <c r="O106" i="1" s="1"/>
  <c r="Q79" i="1" a="1"/>
  <c r="Q79" i="1" s="1"/>
  <c r="M33" i="1" a="1"/>
  <c r="M33" i="1" s="1"/>
  <c r="P134" i="1" a="1"/>
  <c r="P134" i="1" s="1"/>
  <c r="Q238" i="1" a="1"/>
  <c r="Q238" i="1" s="1"/>
  <c r="R238" i="1" s="1"/>
  <c r="M183" i="1" a="1"/>
  <c r="M183" i="1" s="1"/>
  <c r="Q29" i="1" a="1"/>
  <c r="Q29" i="1" s="1"/>
  <c r="Q192" i="1" a="1"/>
  <c r="Q192" i="1" s="1"/>
  <c r="N28" i="1" a="1"/>
  <c r="N28" i="1" s="1"/>
  <c r="N176" i="1" a="1"/>
  <c r="N176" i="1" s="1"/>
  <c r="N104" i="1" a="1"/>
  <c r="N104" i="1" s="1"/>
  <c r="P245" i="1" a="1"/>
  <c r="P245" i="1" s="1"/>
  <c r="M31" i="1" a="1"/>
  <c r="M31" i="1" s="1"/>
  <c r="P43" i="1" a="1"/>
  <c r="P43" i="1" s="1"/>
  <c r="P172" i="1" a="1"/>
  <c r="P172" i="1" s="1"/>
  <c r="O196" i="1" a="1"/>
  <c r="O196" i="1" s="1"/>
  <c r="N27" i="1" a="1"/>
  <c r="N27" i="1" s="1"/>
  <c r="O322" i="1" a="1"/>
  <c r="O322" i="1" s="1"/>
  <c r="Q70" i="1" a="1"/>
  <c r="Q70" i="1" s="1"/>
  <c r="M62" i="1" a="1"/>
  <c r="M62" i="1" s="1"/>
  <c r="O34" i="1" a="1"/>
  <c r="O34" i="1" s="1"/>
  <c r="M190" i="1" a="1"/>
  <c r="M190" i="1" s="1"/>
  <c r="M40" i="1" a="1"/>
  <c r="M40" i="1" s="1"/>
  <c r="O55" i="1" a="1"/>
  <c r="O55" i="1" s="1"/>
  <c r="O125" i="1" a="1"/>
  <c r="O125" i="1" s="1"/>
  <c r="N133" i="1" a="1"/>
  <c r="N133" i="1" s="1"/>
  <c r="N291" i="1" a="1"/>
  <c r="N291" i="1" s="1"/>
  <c r="M263" i="1" a="1"/>
  <c r="M263" i="1" s="1"/>
  <c r="O37" i="1" a="1"/>
  <c r="O37" i="1" s="1"/>
  <c r="N199" i="1" a="1"/>
  <c r="N199" i="1" s="1"/>
  <c r="N145" i="1" a="1"/>
  <c r="N145" i="1" s="1"/>
  <c r="M199" i="1" a="1"/>
  <c r="M199" i="1" s="1"/>
  <c r="O38" i="1" a="1"/>
  <c r="O38" i="1" s="1"/>
  <c r="N243" i="1" a="1"/>
  <c r="N243" i="1" s="1"/>
  <c r="O19" i="1" a="1"/>
  <c r="O19" i="1" s="1"/>
  <c r="Q22" i="1" a="1"/>
  <c r="Q22" i="1" s="1"/>
  <c r="M22" i="1" a="1"/>
  <c r="M22" i="1" s="1"/>
  <c r="P187" i="1" a="1"/>
  <c r="P187" i="1" s="1"/>
  <c r="Q36" i="1" a="1"/>
  <c r="Q36" i="1" s="1"/>
  <c r="P129" i="1" a="1"/>
  <c r="P129" i="1" s="1"/>
  <c r="M130" i="1" a="1"/>
  <c r="M130" i="1" s="1"/>
  <c r="P110" i="1" a="1"/>
  <c r="P110" i="1" s="1"/>
  <c r="O230" i="1" a="1"/>
  <c r="O230" i="1" s="1"/>
  <c r="P114" i="1" a="1"/>
  <c r="P114" i="1" s="1"/>
  <c r="P44" i="1" a="1"/>
  <c r="P44" i="1" s="1"/>
  <c r="P164" i="1" a="1"/>
  <c r="P164" i="1" s="1"/>
  <c r="O166" i="1" a="1"/>
  <c r="O166" i="1" s="1"/>
  <c r="M59" i="1" a="1"/>
  <c r="M59" i="1" s="1"/>
  <c r="O6" i="1" a="1"/>
  <c r="O6" i="1" s="1"/>
  <c r="Q203" i="1" a="1"/>
  <c r="Q203" i="1" s="1"/>
  <c r="O26" i="1" a="1"/>
  <c r="O26" i="1" s="1"/>
  <c r="N34" i="1" a="1"/>
  <c r="N34" i="1" s="1"/>
  <c r="Q60" i="1" a="1"/>
  <c r="Q60" i="1" s="1"/>
  <c r="O135" i="1" a="1"/>
  <c r="O135" i="1" s="1"/>
  <c r="O4" i="1" a="1"/>
  <c r="O4" i="1" s="1"/>
  <c r="Q194" i="1" a="1"/>
  <c r="Q194" i="1" s="1"/>
  <c r="N141" i="1" a="1"/>
  <c r="N141" i="1" s="1"/>
  <c r="P262" i="1" a="1"/>
  <c r="P262" i="1" s="1"/>
  <c r="N35" i="1" a="1"/>
  <c r="N35" i="1" s="1"/>
  <c r="O238" i="1" a="1"/>
  <c r="O238" i="1" s="1"/>
  <c r="P41" i="1" a="1"/>
  <c r="P41" i="1" s="1"/>
  <c r="M188" i="1" a="1"/>
  <c r="M188" i="1" s="1"/>
  <c r="P222" i="1" a="1"/>
  <c r="P222" i="1" s="1"/>
  <c r="O100" i="1" a="1"/>
  <c r="O100" i="1" s="1"/>
  <c r="M179" i="1" a="1"/>
  <c r="M179" i="1" s="1"/>
  <c r="M42" i="1" a="1"/>
  <c r="M42" i="1" s="1"/>
  <c r="O53" i="1" a="1"/>
  <c r="O53" i="1" s="1"/>
  <c r="M312" i="1" a="1"/>
  <c r="M312" i="1" s="1"/>
  <c r="M29" i="1" a="1"/>
  <c r="M29" i="1" s="1"/>
  <c r="N11" i="1" a="1"/>
  <c r="N11" i="1" s="1"/>
  <c r="N237" i="1" a="1"/>
  <c r="N237" i="1" s="1"/>
  <c r="P242" i="1" a="1"/>
  <c r="P242" i="1" s="1"/>
  <c r="O64" i="1" a="1"/>
  <c r="O64" i="1" s="1"/>
  <c r="M254" i="1" a="1"/>
  <c r="M254" i="1" s="1"/>
  <c r="M10" i="1" a="1"/>
  <c r="M10" i="1" s="1"/>
  <c r="N9" i="1" a="1"/>
  <c r="N9" i="1" s="1"/>
  <c r="M237" i="1" a="1"/>
  <c r="M237" i="1" s="1"/>
  <c r="Q230" i="1" a="1"/>
  <c r="Q230" i="1" s="1"/>
  <c r="P176" i="1" a="1"/>
  <c r="P176" i="1" s="1"/>
  <c r="P3" i="1" a="1"/>
  <c r="P3" i="1" s="1"/>
  <c r="M44" i="1" a="1"/>
  <c r="M44" i="1" s="1"/>
  <c r="M368" i="1" a="1"/>
  <c r="M368" i="1" s="1"/>
  <c r="M5" i="1" a="1"/>
  <c r="M5" i="1" s="1"/>
  <c r="O73" i="1" a="1"/>
  <c r="O73" i="1" s="1"/>
  <c r="N212" i="1" a="1"/>
  <c r="N212" i="1" s="1"/>
  <c r="Q160" i="1" a="1"/>
  <c r="Q160" i="1" s="1"/>
  <c r="Q51" i="1" a="1"/>
  <c r="Q51" i="1" s="1"/>
  <c r="N226" i="1" a="1"/>
  <c r="N226" i="1" s="1"/>
  <c r="Q106" i="1" a="1"/>
  <c r="Q106" i="1" s="1"/>
  <c r="P33" i="1" a="1"/>
  <c r="P33" i="1" s="1"/>
  <c r="Q43" i="1" a="1"/>
  <c r="Q43" i="1" s="1"/>
  <c r="Q199" i="1" a="1"/>
  <c r="Q199" i="1" s="1"/>
  <c r="Q154" i="1" a="1"/>
  <c r="Q154" i="1" s="1"/>
  <c r="P15" i="1" a="1"/>
  <c r="P15" i="1" s="1"/>
  <c r="N140" i="1" a="1"/>
  <c r="N140" i="1" s="1"/>
  <c r="P14" i="1" a="1"/>
  <c r="P14" i="1" s="1"/>
  <c r="N44" i="1" a="1"/>
  <c r="N44" i="1" s="1"/>
  <c r="P121" i="1" a="1"/>
  <c r="P121" i="1" s="1"/>
  <c r="O124" i="1" a="1"/>
  <c r="O124" i="1" s="1"/>
  <c r="M26" i="1" a="1"/>
  <c r="M26" i="1" s="1"/>
  <c r="N134" i="1" a="1"/>
  <c r="N134" i="1" s="1"/>
  <c r="N173" i="1" a="1"/>
  <c r="N173" i="1" s="1"/>
  <c r="Q233" i="1" a="1"/>
  <c r="Q233" i="1" s="1"/>
  <c r="P24" i="1" a="1"/>
  <c r="P24" i="1" s="1"/>
  <c r="Q125" i="1" a="1"/>
  <c r="Q125" i="1" s="1"/>
  <c r="M97" i="1" a="1"/>
  <c r="M97" i="1" s="1"/>
  <c r="M244" i="1" a="1"/>
  <c r="M244" i="1" s="1"/>
  <c r="M226" i="1" a="1"/>
  <c r="M226" i="1" s="1"/>
  <c r="Q16" i="1" a="1"/>
  <c r="Q16" i="1" s="1"/>
  <c r="P82" i="1" a="1"/>
  <c r="P82" i="1" s="1"/>
  <c r="M127" i="1" a="1"/>
  <c r="M127" i="1" s="1"/>
  <c r="M136" i="1" a="1"/>
  <c r="M136" i="1" s="1"/>
  <c r="P62" i="1" a="1"/>
  <c r="P62" i="1" s="1"/>
  <c r="M217" i="1" a="1"/>
  <c r="M217" i="1" s="1"/>
  <c r="P116" i="1" a="1"/>
  <c r="P116" i="1" s="1"/>
  <c r="N90" i="1" a="1"/>
  <c r="N90" i="1" s="1"/>
  <c r="M162" i="1" a="1"/>
  <c r="M162" i="1" s="1"/>
  <c r="O155" i="1" a="1"/>
  <c r="O155" i="1" s="1"/>
  <c r="M320" i="1" a="1"/>
  <c r="M320" i="1" s="1"/>
  <c r="P47" i="1" a="1"/>
  <c r="P47" i="1" s="1"/>
  <c r="Q56" i="1" a="1"/>
  <c r="Q56" i="1" s="1"/>
  <c r="P200" i="1" a="1"/>
  <c r="P200" i="1" s="1"/>
  <c r="M13" i="1" a="1"/>
  <c r="M13" i="1" s="1"/>
  <c r="P255" i="1" a="1"/>
  <c r="P255" i="1" s="1"/>
  <c r="P21" i="1" a="1"/>
  <c r="P21" i="1" s="1"/>
  <c r="Q134" i="1" a="1"/>
  <c r="Q134" i="1" s="1"/>
  <c r="Q172" i="1" a="1"/>
  <c r="Q172" i="1" s="1"/>
  <c r="R172" i="1" s="1"/>
  <c r="Q142" i="1" a="1"/>
  <c r="Q142" i="1" s="1"/>
  <c r="R142" i="1" s="1"/>
  <c r="Q229" i="1" a="1"/>
  <c r="Q229" i="1" s="1"/>
  <c r="O51" i="1" a="1"/>
  <c r="O51" i="1" s="1"/>
  <c r="M248" i="1" a="1"/>
  <c r="M248" i="1" s="1"/>
  <c r="N249" i="1" a="1"/>
  <c r="N249" i="1" s="1"/>
  <c r="O43" i="1" a="1"/>
  <c r="O43" i="1" s="1"/>
  <c r="Q155" i="1" a="1"/>
  <c r="Q155" i="1" s="1"/>
  <c r="Q231" i="1" a="1"/>
  <c r="Q231" i="1" s="1"/>
  <c r="Q253" i="1" a="1"/>
  <c r="Q253" i="1" s="1"/>
  <c r="O114" i="1" a="1"/>
  <c r="O114" i="1" s="1"/>
  <c r="N99" i="1" a="1"/>
  <c r="N99" i="1" s="1"/>
  <c r="P69" i="1" a="1"/>
  <c r="P69" i="1" s="1"/>
  <c r="O149" i="1" a="1"/>
  <c r="O149" i="1" s="1"/>
  <c r="P305" i="1" a="1"/>
  <c r="P305" i="1" s="1"/>
  <c r="Q40" i="1" a="1"/>
  <c r="Q40" i="1" s="1"/>
  <c r="Q148" i="1" a="1"/>
  <c r="Q148" i="1" s="1"/>
  <c r="P79" i="1" a="1"/>
  <c r="P79" i="1" s="1"/>
  <c r="Q74" i="1" a="1"/>
  <c r="Q74" i="1" s="1"/>
  <c r="N164" i="1" a="1"/>
  <c r="N164" i="1" s="1"/>
  <c r="O9" i="1" a="1"/>
  <c r="O9" i="1" s="1"/>
  <c r="O107" i="1" a="1"/>
  <c r="O107" i="1" s="1"/>
  <c r="P179" i="1" a="1"/>
  <c r="P179" i="1" s="1"/>
  <c r="Q216" i="1" a="1"/>
  <c r="Q216" i="1" s="1"/>
  <c r="Q71" i="1" a="1"/>
  <c r="Q71" i="1" s="1"/>
  <c r="O221" i="1" a="1"/>
  <c r="O221" i="1" s="1"/>
  <c r="O91" i="1" a="1"/>
  <c r="O91" i="1" s="1"/>
  <c r="N48" i="1" a="1"/>
  <c r="N48" i="1" s="1"/>
  <c r="P190" i="1" a="1"/>
  <c r="P190" i="1" s="1"/>
  <c r="P118" i="1" a="1"/>
  <c r="P118" i="1" s="1"/>
  <c r="O387" i="1" a="1"/>
  <c r="O387" i="1" s="1"/>
  <c r="M52" i="1" a="1"/>
  <c r="M52" i="1" s="1"/>
  <c r="P234" i="1" a="1"/>
  <c r="P234" i="1" s="1"/>
  <c r="O151" i="1" a="1"/>
  <c r="O151" i="1" s="1"/>
  <c r="Q202" i="1" a="1"/>
  <c r="Q202" i="1" s="1"/>
  <c r="P45" i="1" a="1"/>
  <c r="P45" i="1" s="1"/>
  <c r="Q144" i="1" a="1"/>
  <c r="Q144" i="1" s="1"/>
  <c r="M129" i="1" a="1"/>
  <c r="M129" i="1" s="1"/>
  <c r="N69" i="1" a="1"/>
  <c r="N69" i="1" s="1"/>
  <c r="Q87" i="1" a="1"/>
  <c r="Q87" i="1" s="1"/>
  <c r="N377" i="1" a="1"/>
  <c r="N377" i="1" s="1"/>
  <c r="Q4" i="1" a="1"/>
  <c r="Q4" i="1" s="1"/>
  <c r="R4" i="1" s="1"/>
  <c r="O140" i="1" a="1"/>
  <c r="O140" i="1" s="1"/>
  <c r="O239" i="1" a="1"/>
  <c r="O239" i="1" s="1"/>
  <c r="Q133" i="1" a="1"/>
  <c r="Q133" i="1" s="1"/>
  <c r="O32" i="1" a="1"/>
  <c r="O32" i="1" s="1"/>
  <c r="N367" i="1" a="1"/>
  <c r="N367" i="1" s="1"/>
  <c r="N96" i="1" a="1"/>
  <c r="N96" i="1" s="1"/>
  <c r="Q82" i="1" a="1"/>
  <c r="Q82" i="1" s="1"/>
  <c r="P105" i="1" a="1"/>
  <c r="P105" i="1" s="1"/>
  <c r="M212" i="1" a="1"/>
  <c r="M212" i="1" s="1"/>
  <c r="P377" i="1" a="1"/>
  <c r="P377" i="1" s="1"/>
  <c r="Q150" i="1" a="1"/>
  <c r="Q150" i="1" s="1"/>
  <c r="Q170" i="1" a="1"/>
  <c r="Q170" i="1" s="1"/>
  <c r="Q198" i="1" a="1"/>
  <c r="Q198" i="1" s="1"/>
  <c r="N32" i="1" a="1"/>
  <c r="N32" i="1" s="1"/>
  <c r="Q46" i="1" a="1"/>
  <c r="Q46" i="1" s="1"/>
  <c r="R46" i="1" s="1"/>
  <c r="M214" i="1" a="1"/>
  <c r="M214" i="1" s="1"/>
  <c r="P217" i="1" a="1"/>
  <c r="P217" i="1" s="1"/>
  <c r="M184" i="1" a="1"/>
  <c r="M184" i="1" s="1"/>
  <c r="P229" i="1" a="1"/>
  <c r="P229" i="1" s="1"/>
  <c r="Q279" i="1" a="1"/>
  <c r="Q279" i="1" s="1"/>
  <c r="M73" i="1" a="1"/>
  <c r="M73" i="1" s="1"/>
  <c r="M16" i="1" a="1"/>
  <c r="M16" i="1" s="1"/>
  <c r="M84" i="1" a="1"/>
  <c r="M84" i="1" s="1"/>
  <c r="P201" i="1" a="1"/>
  <c r="P201" i="1" s="1"/>
  <c r="P12" i="1" a="1"/>
  <c r="P12" i="1" s="1"/>
  <c r="P90" i="1" a="1"/>
  <c r="P90" i="1" s="1"/>
  <c r="Q127" i="1" a="1"/>
  <c r="Q127" i="1" s="1"/>
  <c r="R127" i="1" s="1"/>
  <c r="P131" i="1" a="1"/>
  <c r="P131" i="1" s="1"/>
  <c r="O105" i="1" a="1"/>
  <c r="O105" i="1" s="1"/>
  <c r="P337" i="1" a="1"/>
  <c r="P337" i="1" s="1"/>
  <c r="N245" i="1" a="1"/>
  <c r="N245" i="1" s="1"/>
  <c r="P146" i="1" a="1"/>
  <c r="P146" i="1" s="1"/>
  <c r="M39" i="1" a="1"/>
  <c r="M39" i="1" s="1"/>
  <c r="N221" i="1" a="1"/>
  <c r="N221" i="1" s="1"/>
  <c r="N103" i="1" a="1"/>
  <c r="N103" i="1" s="1"/>
  <c r="O36" i="1" a="1"/>
  <c r="O36" i="1" s="1"/>
  <c r="N92" i="1" a="1"/>
  <c r="N92" i="1" s="1"/>
  <c r="O335" i="1" a="1"/>
  <c r="O335" i="1" s="1"/>
  <c r="Q23" i="1" a="1"/>
  <c r="Q23" i="1" s="1"/>
  <c r="N181" i="1" a="1"/>
  <c r="N181" i="1" s="1"/>
  <c r="P78" i="1" a="1"/>
  <c r="P78" i="1" s="1"/>
  <c r="Q118" i="1" a="1"/>
  <c r="Q118" i="1" s="1"/>
  <c r="Q225" i="1" a="1"/>
  <c r="Q225" i="1" s="1"/>
  <c r="R225" i="1" s="1"/>
  <c r="N339" i="1" a="1"/>
  <c r="N339" i="1" s="1"/>
  <c r="P192" i="1" a="1"/>
  <c r="P192" i="1" s="1"/>
  <c r="M68" i="1" a="1"/>
  <c r="M68" i="1" s="1"/>
  <c r="Q121" i="1" a="1"/>
  <c r="Q121" i="1" s="1"/>
  <c r="P210" i="1" a="1"/>
  <c r="P210" i="1" s="1"/>
  <c r="O72" i="1" a="1"/>
  <c r="O72" i="1" s="1"/>
  <c r="N19" i="1" a="1"/>
  <c r="N19" i="1" s="1"/>
  <c r="O20" i="1" a="1"/>
  <c r="O20" i="1" s="1"/>
  <c r="P65" i="1" a="1"/>
  <c r="P65" i="1" s="1"/>
  <c r="O11" i="1" a="1"/>
  <c r="O11" i="1" s="1"/>
  <c r="Q181" i="1" a="1"/>
  <c r="Q181" i="1" s="1"/>
  <c r="Q30" i="1" a="1"/>
  <c r="Q30" i="1" s="1"/>
  <c r="R30" i="1" s="1"/>
  <c r="N71" i="1" a="1"/>
  <c r="N71" i="1" s="1"/>
  <c r="M181" i="1" a="1"/>
  <c r="M181" i="1" s="1"/>
  <c r="N187" i="1" a="1"/>
  <c r="N187" i="1" s="1"/>
  <c r="N21" i="1" a="1"/>
  <c r="N21" i="1" s="1"/>
  <c r="M195" i="1" a="1"/>
  <c r="M195" i="1" s="1"/>
  <c r="Q294" i="1" a="1"/>
  <c r="Q294" i="1" s="1"/>
  <c r="O48" i="1" a="1"/>
  <c r="O48" i="1" s="1"/>
  <c r="O63" i="1" a="1"/>
  <c r="O63" i="1" s="1"/>
  <c r="M90" i="1" a="1"/>
  <c r="M90" i="1" s="1"/>
  <c r="M219" i="1" a="1"/>
  <c r="M219" i="1" s="1"/>
  <c r="N30" i="1" a="1"/>
  <c r="N30" i="1" s="1"/>
  <c r="M113" i="1" a="1"/>
  <c r="M113" i="1" s="1"/>
  <c r="P137" i="1" a="1"/>
  <c r="P137" i="1" s="1"/>
  <c r="M45" i="1" a="1"/>
  <c r="M45" i="1" s="1"/>
  <c r="Q12" i="1" a="1"/>
  <c r="Q12" i="1" s="1"/>
  <c r="O280" i="1" a="1"/>
  <c r="O280" i="1" s="1"/>
  <c r="N192" i="1" a="1"/>
  <c r="N192" i="1" s="1"/>
  <c r="O236" i="1" a="1"/>
  <c r="O236" i="1" s="1"/>
  <c r="O21" i="1" a="1"/>
  <c r="O21" i="1" s="1"/>
  <c r="N180" i="1" a="1"/>
  <c r="N180" i="1" s="1"/>
  <c r="O361" i="1" a="1"/>
  <c r="O361" i="1" s="1"/>
  <c r="O120" i="1" a="1"/>
  <c r="O120" i="1" s="1"/>
  <c r="P49" i="1" a="1"/>
  <c r="P49" i="1" s="1"/>
  <c r="Q313" i="1" a="1"/>
  <c r="Q313" i="1" s="1"/>
  <c r="N308" i="1" a="1"/>
  <c r="N308" i="1" s="1"/>
  <c r="N324" i="1" a="1"/>
  <c r="N324" i="1" s="1"/>
  <c r="N114" i="1" a="1"/>
  <c r="N114" i="1" s="1"/>
  <c r="Q162" i="1" a="1"/>
  <c r="Q162" i="1" s="1"/>
  <c r="P404" i="1" a="1"/>
  <c r="P404" i="1" s="1"/>
  <c r="N347" i="1" a="1"/>
  <c r="N347" i="1" s="1"/>
  <c r="Q290" i="1" a="1"/>
  <c r="Q290" i="1" s="1"/>
  <c r="Q217" i="1" a="1"/>
  <c r="Q217" i="1" s="1"/>
  <c r="N389" i="1" a="1"/>
  <c r="N389" i="1" s="1"/>
  <c r="M341" i="1" a="1"/>
  <c r="M341" i="1" s="1"/>
  <c r="Q295" i="1" a="1"/>
  <c r="Q295" i="1" s="1"/>
  <c r="O279" i="1" a="1"/>
  <c r="O279" i="1" s="1"/>
  <c r="P267" i="1" a="1"/>
  <c r="P267" i="1" s="1"/>
  <c r="M388" i="1" a="1"/>
  <c r="M388" i="1" s="1"/>
  <c r="M311" i="1" a="1"/>
  <c r="M311" i="1" s="1"/>
  <c r="N304" i="1" a="1"/>
  <c r="N304" i="1" s="1"/>
  <c r="Q355" i="1" a="1"/>
  <c r="Q355" i="1" s="1"/>
  <c r="Q302" i="1" a="1"/>
  <c r="Q302" i="1" s="1"/>
  <c r="O186" i="1" a="1"/>
  <c r="O186" i="1" s="1"/>
  <c r="P402" i="1" a="1"/>
  <c r="P402" i="1" s="1"/>
  <c r="M236" i="1" a="1"/>
  <c r="M236" i="1" s="1"/>
  <c r="N22" i="1" a="1"/>
  <c r="N22" i="1" s="1"/>
  <c r="N295" i="1" a="1"/>
  <c r="N295" i="1" s="1"/>
  <c r="N58" i="1" a="1"/>
  <c r="N58" i="1" s="1"/>
  <c r="N297" i="1" a="1"/>
  <c r="N297" i="1" s="1"/>
  <c r="Q117" i="1" a="1"/>
  <c r="Q117" i="1" s="1"/>
  <c r="P361" i="1" a="1"/>
  <c r="P361" i="1" s="1"/>
  <c r="P35" i="1" a="1"/>
  <c r="P35" i="1" s="1"/>
  <c r="N47" i="1" a="1"/>
  <c r="N47" i="1" s="1"/>
  <c r="Q138" i="1" a="1"/>
  <c r="Q138" i="1" s="1"/>
  <c r="N184" i="1" a="1"/>
  <c r="N184" i="1" s="1"/>
  <c r="O256" i="1" a="1"/>
  <c r="O256" i="1" s="1"/>
  <c r="Q128" i="1" a="1"/>
  <c r="Q128" i="1" s="1"/>
  <c r="P141" i="1" a="1"/>
  <c r="P141" i="1" s="1"/>
  <c r="O163" i="1" a="1"/>
  <c r="O163" i="1" s="1"/>
  <c r="O44" i="1" a="1"/>
  <c r="O44" i="1" s="1"/>
  <c r="N348" i="1" a="1"/>
  <c r="N348" i="1" s="1"/>
  <c r="P373" i="1" a="1"/>
  <c r="P373" i="1" s="1"/>
  <c r="N338" i="1" a="1"/>
  <c r="N338" i="1" s="1"/>
  <c r="M279" i="1" a="1"/>
  <c r="M279" i="1" s="1"/>
  <c r="P410" i="1" a="1"/>
  <c r="P410" i="1" s="1"/>
  <c r="M275" i="1" a="1"/>
  <c r="M275" i="1" s="1"/>
  <c r="O269" i="1" a="1"/>
  <c r="O269" i="1" s="1"/>
  <c r="M159" i="1" a="1"/>
  <c r="M159" i="1" s="1"/>
  <c r="P162" i="1" a="1"/>
  <c r="P162" i="1" s="1"/>
  <c r="N78" i="1" a="1"/>
  <c r="N78" i="1" s="1"/>
  <c r="Q124" i="1" a="1"/>
  <c r="Q124" i="1" s="1"/>
  <c r="N129" i="1" a="1"/>
  <c r="N129" i="1" s="1"/>
  <c r="M87" i="1" a="1"/>
  <c r="M87" i="1" s="1"/>
  <c r="Q72" i="1" a="1"/>
  <c r="Q72" i="1" s="1"/>
  <c r="O45" i="1" a="1"/>
  <c r="O45" i="1" s="1"/>
  <c r="P218" i="1" a="1"/>
  <c r="P218" i="1" s="1"/>
  <c r="Q59" i="1" a="1"/>
  <c r="Q59" i="1" s="1"/>
  <c r="Q129" i="1" a="1"/>
  <c r="Q129" i="1" s="1"/>
  <c r="N50" i="1" a="1"/>
  <c r="N50" i="1" s="1"/>
  <c r="O110" i="1" a="1"/>
  <c r="O110" i="1" s="1"/>
  <c r="O29" i="1" a="1"/>
  <c r="O29" i="1" s="1"/>
  <c r="Q123" i="1" a="1"/>
  <c r="Q123" i="1" s="1"/>
  <c r="N227" i="1" a="1"/>
  <c r="N227" i="1" s="1"/>
  <c r="N43" i="1" a="1"/>
  <c r="N43" i="1" s="1"/>
  <c r="M115" i="1" a="1"/>
  <c r="M115" i="1" s="1"/>
  <c r="P156" i="1" a="1"/>
  <c r="P156" i="1" s="1"/>
  <c r="Q38" i="1" a="1"/>
  <c r="Q38" i="1" s="1"/>
  <c r="R38" i="1" s="1"/>
  <c r="Q84" i="1" a="1"/>
  <c r="Q84" i="1" s="1"/>
  <c r="N228" i="1" a="1"/>
  <c r="N228" i="1" s="1"/>
  <c r="Q98" i="1" a="1"/>
  <c r="Q98" i="1" s="1"/>
  <c r="M145" i="1" a="1"/>
  <c r="M145" i="1" s="1"/>
  <c r="M20" i="1" a="1"/>
  <c r="M20" i="1" s="1"/>
  <c r="P183" i="1" a="1"/>
  <c r="P183" i="1" s="1"/>
  <c r="N33" i="1" a="1"/>
  <c r="N33" i="1" s="1"/>
  <c r="N235" i="1" a="1"/>
  <c r="N235" i="1" s="1"/>
  <c r="N109" i="1" a="1"/>
  <c r="N109" i="1" s="1"/>
  <c r="Q85" i="1" a="1"/>
  <c r="Q85" i="1" s="1"/>
  <c r="P29" i="1" a="1"/>
  <c r="P29" i="1" s="1"/>
  <c r="N230" i="1" a="1"/>
  <c r="N230" i="1" s="1"/>
  <c r="O56" i="1" a="1"/>
  <c r="O56" i="1" s="1"/>
  <c r="N119" i="1" a="1"/>
  <c r="N119" i="1" s="1"/>
  <c r="O320" i="1" a="1"/>
  <c r="O320" i="1" s="1"/>
  <c r="N220" i="1" a="1"/>
  <c r="N220" i="1" s="1"/>
  <c r="N105" i="1" a="1"/>
  <c r="N105" i="1" s="1"/>
  <c r="Q288" i="1" a="1"/>
  <c r="Q288" i="1" s="1"/>
  <c r="O262" i="1" a="1"/>
  <c r="O262" i="1" s="1"/>
  <c r="O195" i="1" a="1"/>
  <c r="O195" i="1" s="1"/>
  <c r="Q195" i="1" a="1"/>
  <c r="Q195" i="1" s="1"/>
  <c r="Q143" i="1" a="1"/>
  <c r="Q143" i="1" s="1"/>
  <c r="O255" i="1" a="1"/>
  <c r="O255" i="1" s="1"/>
  <c r="Q109" i="1" a="1"/>
  <c r="Q109" i="1" s="1"/>
  <c r="R109" i="1" s="1"/>
  <c r="P256" i="1" a="1"/>
  <c r="P256" i="1" s="1"/>
  <c r="P395" i="1" a="1"/>
  <c r="P395" i="1" s="1"/>
  <c r="P382" i="1" a="1"/>
  <c r="P382" i="1" s="1"/>
  <c r="Q222" i="1" a="1"/>
  <c r="Q222" i="1" s="1"/>
  <c r="M353" i="1" a="1"/>
  <c r="M353" i="1" s="1"/>
  <c r="P293" i="1" a="1"/>
  <c r="P293" i="1" s="1"/>
  <c r="Q282" i="1" a="1"/>
  <c r="Q282" i="1" s="1"/>
  <c r="Q310" i="1" a="1"/>
  <c r="Q310" i="1" s="1"/>
  <c r="Q292" i="1" a="1"/>
  <c r="Q292" i="1" s="1"/>
  <c r="M41" i="1" a="1"/>
  <c r="M41" i="1" s="1"/>
  <c r="M32" i="1" a="1"/>
  <c r="M32" i="1" s="1"/>
  <c r="M314" i="1" a="1"/>
  <c r="M314" i="1" s="1"/>
  <c r="P381" i="1" a="1"/>
  <c r="P381" i="1" s="1"/>
  <c r="M344" i="1" a="1"/>
  <c r="M344" i="1" s="1"/>
  <c r="N157" i="1" a="1"/>
  <c r="N157" i="1" s="1"/>
  <c r="M289" i="1" a="1"/>
  <c r="M289" i="1" s="1"/>
  <c r="N302" i="1" a="1"/>
  <c r="N302" i="1" s="1"/>
  <c r="N224" i="1" a="1"/>
  <c r="N224" i="1" s="1"/>
  <c r="N385" i="1" a="1"/>
  <c r="N385" i="1" s="1"/>
  <c r="N7" i="1" a="1"/>
  <c r="N7" i="1" s="1"/>
  <c r="P98" i="1" a="1"/>
  <c r="P98" i="1" s="1"/>
  <c r="O346" i="1" a="1"/>
  <c r="O346" i="1" s="1"/>
  <c r="N189" i="1" a="1"/>
  <c r="N189" i="1" s="1"/>
  <c r="P362" i="1" a="1"/>
  <c r="P362" i="1" s="1"/>
  <c r="N124" i="1" a="1"/>
  <c r="N124" i="1" s="1"/>
  <c r="P340" i="1" a="1"/>
  <c r="P340" i="1" s="1"/>
  <c r="P386" i="1" a="1"/>
  <c r="P386" i="1" s="1"/>
  <c r="P342" i="1" a="1"/>
  <c r="P342" i="1" s="1"/>
  <c r="Q398" i="1" a="1"/>
  <c r="Q398" i="1" s="1"/>
  <c r="N76" i="1" a="1"/>
  <c r="N76" i="1" s="1"/>
  <c r="Q187" i="1" a="1"/>
  <c r="Q187" i="1" s="1"/>
  <c r="R187" i="1" s="1"/>
  <c r="P394" i="1" a="1"/>
  <c r="P394" i="1" s="1"/>
  <c r="P363" i="1" a="1"/>
  <c r="P363" i="1" s="1"/>
  <c r="M228" i="1" a="1"/>
  <c r="M228" i="1" s="1"/>
  <c r="P139" i="1" a="1"/>
  <c r="P139" i="1" s="1"/>
  <c r="P235" i="1" a="1"/>
  <c r="P235" i="1" s="1"/>
  <c r="O366" i="1" a="1"/>
  <c r="O366" i="1" s="1"/>
  <c r="P287" i="1" a="1"/>
  <c r="P287" i="1" s="1"/>
  <c r="M316" i="1" a="1"/>
  <c r="M316" i="1" s="1"/>
  <c r="O175" i="1" a="1"/>
  <c r="O175" i="1" s="1"/>
  <c r="M185" i="1" a="1"/>
  <c r="M185" i="1" s="1"/>
  <c r="Q246" i="1" a="1"/>
  <c r="Q246" i="1" s="1"/>
  <c r="P89" i="1" a="1"/>
  <c r="P89" i="1" s="1"/>
  <c r="M218" i="1" a="1"/>
  <c r="M218" i="1" s="1"/>
  <c r="O234" i="1" a="1"/>
  <c r="O234" i="1" s="1"/>
  <c r="P230" i="1" a="1"/>
  <c r="P230" i="1" s="1"/>
  <c r="P99" i="1" a="1"/>
  <c r="P99" i="1" s="1"/>
  <c r="P159" i="1" a="1"/>
  <c r="P159" i="1" s="1"/>
  <c r="M231" i="1" a="1"/>
  <c r="M231" i="1" s="1"/>
  <c r="M151" i="1" a="1"/>
  <c r="M151" i="1" s="1"/>
  <c r="P66" i="1" a="1"/>
  <c r="P66" i="1" s="1"/>
  <c r="N190" i="1" a="1"/>
  <c r="N190" i="1" s="1"/>
  <c r="P236" i="1" a="1"/>
  <c r="P236" i="1" s="1"/>
  <c r="O183" i="1" a="1"/>
  <c r="O183" i="1" s="1"/>
  <c r="O144" i="1" a="1"/>
  <c r="O144" i="1" s="1"/>
  <c r="P125" i="1" a="1"/>
  <c r="P125" i="1" s="1"/>
  <c r="M192" i="1" a="1"/>
  <c r="M192" i="1" s="1"/>
  <c r="N67" i="1" a="1"/>
  <c r="N67" i="1" s="1"/>
  <c r="Q247" i="1" a="1"/>
  <c r="Q247" i="1" s="1"/>
  <c r="N172" i="1" a="1"/>
  <c r="N172" i="1" s="1"/>
  <c r="M11" i="1" a="1"/>
  <c r="M11" i="1" s="1"/>
  <c r="O134" i="1" a="1"/>
  <c r="O134" i="1" s="1"/>
  <c r="Q243" i="1" a="1"/>
  <c r="Q243" i="1" s="1"/>
  <c r="O89" i="1" a="1"/>
  <c r="O89" i="1" s="1"/>
  <c r="N53" i="1" a="1"/>
  <c r="N53" i="1" s="1"/>
  <c r="P174" i="1" a="1"/>
  <c r="P174" i="1" s="1"/>
  <c r="O181" i="1" a="1"/>
  <c r="O181" i="1" s="1"/>
  <c r="Q156" i="1" a="1"/>
  <c r="Q156" i="1" s="1"/>
  <c r="N126" i="1" a="1"/>
  <c r="N126" i="1" s="1"/>
  <c r="P103" i="1" a="1"/>
  <c r="P103" i="1" s="1"/>
  <c r="M56" i="1" a="1"/>
  <c r="M56" i="1" s="1"/>
  <c r="M193" i="1" a="1"/>
  <c r="M193" i="1" s="1"/>
  <c r="M215" i="1" a="1"/>
  <c r="M215" i="1" s="1"/>
  <c r="N163" i="1" a="1"/>
  <c r="N163" i="1" s="1"/>
  <c r="M63" i="1" a="1"/>
  <c r="M63" i="1" s="1"/>
  <c r="M265" i="1" a="1"/>
  <c r="M265" i="1" s="1"/>
  <c r="O152" i="1" a="1"/>
  <c r="O152" i="1" s="1"/>
  <c r="P387" i="1" a="1"/>
  <c r="P387" i="1" s="1"/>
  <c r="Q334" i="1" a="1"/>
  <c r="Q334" i="1" s="1"/>
  <c r="M372" i="1" a="1"/>
  <c r="M372" i="1" s="1"/>
  <c r="O379" i="1" a="1"/>
  <c r="O379" i="1" s="1"/>
  <c r="O377" i="1" a="1"/>
  <c r="O377" i="1" s="1"/>
  <c r="M380" i="1" a="1"/>
  <c r="M380" i="1" s="1"/>
  <c r="M211" i="1" a="1"/>
  <c r="M211" i="1" s="1"/>
  <c r="M382" i="1" a="1"/>
  <c r="M382" i="1" s="1"/>
  <c r="N73" i="1" a="1"/>
  <c r="N73" i="1" s="1"/>
  <c r="Q383" i="1" a="1"/>
  <c r="Q383" i="1" s="1"/>
  <c r="O291" i="1" a="1"/>
  <c r="O291" i="1" s="1"/>
  <c r="P154" i="1" a="1"/>
  <c r="P154" i="1" s="1"/>
  <c r="M38" i="1" a="1"/>
  <c r="M38" i="1" s="1"/>
  <c r="Q206" i="1" a="1"/>
  <c r="Q206" i="1" s="1"/>
  <c r="N24" i="1" a="1"/>
  <c r="N24" i="1" s="1"/>
  <c r="O403" i="1" a="1"/>
  <c r="O403" i="1" s="1"/>
  <c r="M186" i="1" a="1"/>
  <c r="M186" i="1" s="1"/>
  <c r="P282" i="1" a="1"/>
  <c r="P282" i="1" s="1"/>
  <c r="N5" i="1" a="1"/>
  <c r="N5" i="1" s="1"/>
  <c r="O49" i="1" a="1"/>
  <c r="O49" i="1" s="1"/>
  <c r="M239" i="1" a="1"/>
  <c r="M239" i="1" s="1"/>
  <c r="P270" i="1" a="1"/>
  <c r="P270" i="1" s="1"/>
  <c r="O169" i="1" a="1"/>
  <c r="O169" i="1" s="1"/>
  <c r="M364" i="1" a="1"/>
  <c r="M364" i="1" s="1"/>
  <c r="N210" i="1" a="1"/>
  <c r="N210" i="1" s="1"/>
  <c r="Q351" i="1" a="1"/>
  <c r="Q351" i="1" s="1"/>
  <c r="O416" i="1" a="1"/>
  <c r="O416" i="1" s="1"/>
  <c r="O344" i="1" a="1"/>
  <c r="O344" i="1" s="1"/>
  <c r="Q11" i="1" a="1"/>
  <c r="Q11" i="1" s="1"/>
  <c r="N142" i="1" a="1"/>
  <c r="N142" i="1" s="1"/>
  <c r="N122" i="1" a="1"/>
  <c r="N122" i="1" s="1"/>
  <c r="N321" i="1" a="1"/>
  <c r="N321" i="1" s="1"/>
  <c r="N411" i="1" a="1"/>
  <c r="N411" i="1" s="1"/>
  <c r="O204" i="1" a="1"/>
  <c r="O204" i="1" s="1"/>
  <c r="P257" i="1" a="1"/>
  <c r="P257" i="1" s="1"/>
  <c r="M253" i="1" a="1"/>
  <c r="M253" i="1" s="1"/>
  <c r="N300" i="1" a="1"/>
  <c r="N300" i="1" s="1"/>
  <c r="N286" i="1" a="1"/>
  <c r="N286" i="1" s="1"/>
  <c r="M414" i="1" a="1"/>
  <c r="M414" i="1" s="1"/>
  <c r="Q221" i="1" a="1"/>
  <c r="Q221" i="1" s="1"/>
  <c r="Q5" i="1" a="1"/>
  <c r="Q5" i="1" s="1"/>
  <c r="R5" i="1" s="1"/>
  <c r="N296" i="1" a="1"/>
  <c r="N296" i="1" s="1"/>
  <c r="M187" i="1" a="1"/>
  <c r="M187" i="1" s="1"/>
  <c r="O303" i="1" a="1"/>
  <c r="O303" i="1" s="1"/>
  <c r="P166" i="1" a="1"/>
  <c r="P166" i="1" s="1"/>
  <c r="P325" i="1" a="1"/>
  <c r="P325" i="1" s="1"/>
  <c r="Q396" i="1" a="1"/>
  <c r="Q396" i="1" s="1"/>
  <c r="P296" i="1" a="1"/>
  <c r="P296" i="1" s="1"/>
  <c r="P383" i="1" a="1"/>
  <c r="P383" i="1" s="1"/>
  <c r="P247" i="1" a="1"/>
  <c r="P247" i="1" s="1"/>
  <c r="M255" i="1" a="1"/>
  <c r="M255" i="1" s="1"/>
  <c r="O253" i="1" a="1"/>
  <c r="O253" i="1" s="1"/>
  <c r="Q61" i="1" a="1"/>
  <c r="Q61" i="1" s="1"/>
  <c r="R61" i="1" s="1"/>
  <c r="O408" i="1" a="1"/>
  <c r="O408" i="1" s="1"/>
  <c r="O157" i="1" a="1"/>
  <c r="O157" i="1" s="1"/>
  <c r="M273" i="1" a="1"/>
  <c r="M273" i="1" s="1"/>
  <c r="O207" i="1" a="1"/>
  <c r="O207" i="1" s="1"/>
  <c r="Q183" i="1" a="1"/>
  <c r="Q183" i="1" s="1"/>
  <c r="N159" i="1" a="1"/>
  <c r="N159" i="1" s="1"/>
  <c r="O146" i="1" a="1"/>
  <c r="O146" i="1" s="1"/>
  <c r="Q92" i="1" a="1"/>
  <c r="Q92" i="1" s="1"/>
  <c r="N216" i="1" a="1"/>
  <c r="N216" i="1" s="1"/>
  <c r="M18" i="1" a="1"/>
  <c r="M18" i="1" s="1"/>
  <c r="O79" i="1" a="1"/>
  <c r="O79" i="1" s="1"/>
  <c r="M98" i="1" a="1"/>
  <c r="M98" i="1" s="1"/>
  <c r="Q88" i="1" a="1"/>
  <c r="Q88" i="1" s="1"/>
  <c r="M235" i="1" a="1"/>
  <c r="M235" i="1" s="1"/>
  <c r="N146" i="1" a="1"/>
  <c r="N146" i="1" s="1"/>
  <c r="N81" i="1" a="1"/>
  <c r="N81" i="1" s="1"/>
  <c r="N86" i="1" a="1"/>
  <c r="N86" i="1" s="1"/>
  <c r="O288" i="1" a="1"/>
  <c r="O288" i="1" s="1"/>
  <c r="Q6" i="1" a="1"/>
  <c r="Q6" i="1" s="1"/>
  <c r="Q267" i="1" a="1"/>
  <c r="Q267" i="1" s="1"/>
  <c r="R267" i="1" s="1"/>
  <c r="N151" i="1" a="1"/>
  <c r="N151" i="1" s="1"/>
  <c r="N107" i="1" a="1"/>
  <c r="N107" i="1" s="1"/>
  <c r="Q90" i="1" a="1"/>
  <c r="Q90" i="1" s="1"/>
  <c r="Q250" i="1" a="1"/>
  <c r="Q250" i="1" s="1"/>
  <c r="O249" i="1" a="1"/>
  <c r="O249" i="1" s="1"/>
  <c r="Q65" i="1" a="1"/>
  <c r="Q65" i="1" s="1"/>
  <c r="N162" i="1" a="1"/>
  <c r="N162" i="1" s="1"/>
  <c r="M177" i="1" a="1"/>
  <c r="M177" i="1" s="1"/>
  <c r="O129" i="1" a="1"/>
  <c r="O129" i="1" s="1"/>
  <c r="O60" i="1" a="1"/>
  <c r="O60" i="1" s="1"/>
  <c r="O327" i="1" a="1"/>
  <c r="O327" i="1" s="1"/>
  <c r="N25" i="1" a="1"/>
  <c r="N25" i="1" s="1"/>
  <c r="O240" i="1" a="1"/>
  <c r="O240" i="1" s="1"/>
  <c r="N273" i="1" a="1"/>
  <c r="N273" i="1" s="1"/>
  <c r="Q263" i="1" a="1"/>
  <c r="Q263" i="1" s="1"/>
  <c r="Q408" i="1" a="1"/>
  <c r="Q408" i="1" s="1"/>
  <c r="N312" i="1" a="1"/>
  <c r="N312" i="1" s="1"/>
  <c r="O336" i="1" a="1"/>
  <c r="O336" i="1" s="1"/>
  <c r="N262" i="1" a="1"/>
  <c r="N262" i="1" s="1"/>
  <c r="O391" i="1" a="1"/>
  <c r="O391" i="1" s="1"/>
  <c r="N75" i="1" a="1"/>
  <c r="N75" i="1" s="1"/>
  <c r="N54" i="1" a="1"/>
  <c r="N54" i="1" s="1"/>
  <c r="M397" i="1" a="1"/>
  <c r="M397" i="1" s="1"/>
  <c r="O357" i="1" a="1"/>
  <c r="O357" i="1" s="1"/>
  <c r="N279" i="1" a="1"/>
  <c r="N279" i="1" s="1"/>
  <c r="P113" i="1" a="1"/>
  <c r="P113" i="1" s="1"/>
  <c r="P391" i="1" a="1"/>
  <c r="P391" i="1" s="1"/>
  <c r="O321" i="1" a="1"/>
  <c r="O321" i="1" s="1"/>
  <c r="O313" i="1" a="1"/>
  <c r="O313" i="1" s="1"/>
  <c r="Q399" i="1" a="1"/>
  <c r="Q399" i="1" s="1"/>
  <c r="M350" i="1" a="1"/>
  <c r="M350" i="1" s="1"/>
  <c r="Q211" i="1" a="1"/>
  <c r="Q211" i="1" s="1"/>
  <c r="M367" i="1" a="1"/>
  <c r="M367" i="1" s="1"/>
  <c r="P346" i="1" a="1"/>
  <c r="P346" i="1" s="1"/>
  <c r="M333" i="1" a="1"/>
  <c r="M333" i="1" s="1"/>
  <c r="Q404" i="1" a="1"/>
  <c r="Q404" i="1" s="1"/>
  <c r="P6" i="1" a="1"/>
  <c r="P6" i="1" s="1"/>
  <c r="M288" i="1" a="1"/>
  <c r="M288" i="1" s="1"/>
  <c r="M325" i="1" a="1"/>
  <c r="M325" i="1" s="1"/>
  <c r="Q254" i="1" a="1"/>
  <c r="Q254" i="1" s="1"/>
  <c r="P244" i="1" a="1"/>
  <c r="P244" i="1" s="1"/>
  <c r="N57" i="1" a="1"/>
  <c r="N57" i="1" s="1"/>
  <c r="P73" i="1" a="1"/>
  <c r="P73" i="1" s="1"/>
  <c r="P254" i="1" a="1"/>
  <c r="P254" i="1" s="1"/>
  <c r="P101" i="1" a="1"/>
  <c r="P101" i="1" s="1"/>
  <c r="N409" i="1" a="1"/>
  <c r="N409" i="1" s="1"/>
  <c r="O158" i="1" a="1"/>
  <c r="O158" i="1" s="1"/>
  <c r="Q332" i="1" a="1"/>
  <c r="Q332" i="1" s="1"/>
  <c r="P367" i="1" a="1"/>
  <c r="P367" i="1" s="1"/>
  <c r="Q333" i="1" a="1"/>
  <c r="Q333" i="1" s="1"/>
  <c r="O252" i="1" a="1"/>
  <c r="O252" i="1" s="1"/>
  <c r="P173" i="1" a="1"/>
  <c r="P173" i="1" s="1"/>
  <c r="O104" i="1" a="1"/>
  <c r="O104" i="1" s="1"/>
  <c r="Q352" i="1" a="1"/>
  <c r="Q352" i="1" s="1"/>
  <c r="P301" i="1" a="1"/>
  <c r="P301" i="1" s="1"/>
  <c r="N392" i="1" a="1"/>
  <c r="N392" i="1" s="1"/>
  <c r="M238" i="1" a="1"/>
  <c r="M238" i="1" s="1"/>
  <c r="P216" i="1" a="1"/>
  <c r="P216" i="1" s="1"/>
  <c r="P308" i="1" a="1"/>
  <c r="P308" i="1" s="1"/>
  <c r="M352" i="1" a="1"/>
  <c r="M352" i="1" s="1"/>
  <c r="P419" i="1" a="1"/>
  <c r="P419" i="1" s="1"/>
  <c r="O281" i="1" a="1"/>
  <c r="O281" i="1" s="1"/>
  <c r="Q100" i="1" a="1"/>
  <c r="Q100" i="1" s="1"/>
  <c r="O223" i="1" a="1"/>
  <c r="O223" i="1" s="1"/>
  <c r="P221" i="1" a="1"/>
  <c r="P221" i="1" s="1"/>
  <c r="N68" i="1" a="1"/>
  <c r="N68" i="1" s="1"/>
  <c r="P53" i="1" a="1"/>
  <c r="P53" i="1" s="1"/>
  <c r="M78" i="1" a="1"/>
  <c r="M78" i="1" s="1"/>
  <c r="Q81" i="1" a="1"/>
  <c r="Q81" i="1" s="1"/>
  <c r="Q130" i="1" a="1"/>
  <c r="Q130" i="1" s="1"/>
  <c r="O47" i="1" a="1"/>
  <c r="O47" i="1" s="1"/>
  <c r="O258" i="1" a="1"/>
  <c r="O258" i="1" s="1"/>
  <c r="M67" i="1" a="1"/>
  <c r="M67" i="1" s="1"/>
  <c r="M292" i="1" a="1"/>
  <c r="M292" i="1" s="1"/>
  <c r="N111" i="1" a="1"/>
  <c r="N111" i="1" s="1"/>
  <c r="Q215" i="1" a="1"/>
  <c r="Q215" i="1" s="1"/>
  <c r="P17" i="1" a="1"/>
  <c r="P17" i="1" s="1"/>
  <c r="M121" i="1" a="1"/>
  <c r="M121" i="1" s="1"/>
  <c r="Q53" i="1" a="1"/>
  <c r="Q53" i="1" s="1"/>
  <c r="M204" i="1" a="1"/>
  <c r="M204" i="1" s="1"/>
  <c r="O261" i="1" a="1"/>
  <c r="O261" i="1" s="1"/>
  <c r="O12" i="1" a="1"/>
  <c r="O12" i="1" s="1"/>
  <c r="N215" i="1" a="1"/>
  <c r="N215" i="1" s="1"/>
  <c r="Q193" i="1" a="1"/>
  <c r="Q193" i="1" s="1"/>
  <c r="N127" i="1" a="1"/>
  <c r="N127" i="1" s="1"/>
  <c r="P31" i="1" a="1"/>
  <c r="P31" i="1" s="1"/>
  <c r="O76" i="1" a="1"/>
  <c r="O76" i="1" s="1"/>
  <c r="P214" i="1" a="1"/>
  <c r="P214" i="1" s="1"/>
  <c r="P37" i="1" a="1"/>
  <c r="P37" i="1" s="1"/>
  <c r="O22" i="1" a="1"/>
  <c r="O22" i="1" s="1"/>
  <c r="M149" i="1" a="1"/>
  <c r="M149" i="1" s="1"/>
  <c r="Q89" i="1" a="1"/>
  <c r="Q89" i="1" s="1"/>
  <c r="P81" i="1" a="1"/>
  <c r="P81" i="1" s="1"/>
  <c r="Q39" i="1" a="1"/>
  <c r="Q39" i="1" s="1"/>
  <c r="N65" i="1" a="1"/>
  <c r="N65" i="1" s="1"/>
  <c r="P63" i="1" a="1"/>
  <c r="P63" i="1" s="1"/>
  <c r="N80" i="1" a="1"/>
  <c r="N80" i="1" s="1"/>
  <c r="O277" i="1" a="1"/>
  <c r="O277" i="1" s="1"/>
  <c r="P215" i="1" a="1"/>
  <c r="P215" i="1" s="1"/>
  <c r="O232" i="1" a="1"/>
  <c r="O232" i="1" s="1"/>
  <c r="M277" i="1" a="1"/>
  <c r="M277" i="1" s="1"/>
  <c r="O363" i="1" a="1"/>
  <c r="O363" i="1" s="1"/>
  <c r="N331" i="1" a="1"/>
  <c r="N331" i="1" s="1"/>
  <c r="N341" i="1" a="1"/>
  <c r="N341" i="1" s="1"/>
  <c r="P84" i="1" a="1"/>
  <c r="P84" i="1" s="1"/>
  <c r="O127" i="1" a="1"/>
  <c r="O127" i="1" s="1"/>
  <c r="O143" i="1" a="1"/>
  <c r="O143" i="1" s="1"/>
  <c r="Q329" i="1" a="1"/>
  <c r="Q329" i="1" s="1"/>
  <c r="P271" i="1" a="1"/>
  <c r="P271" i="1" s="1"/>
  <c r="Q394" i="1" a="1"/>
  <c r="Q394" i="1" s="1"/>
  <c r="Q286" i="1" a="1"/>
  <c r="Q286" i="1" s="1"/>
  <c r="M337" i="1" a="1"/>
  <c r="M337" i="1" s="1"/>
  <c r="O382" i="1" a="1"/>
  <c r="O382" i="1" s="1"/>
  <c r="N334" i="1" a="1"/>
  <c r="N334" i="1" s="1"/>
  <c r="Q3" i="1" a="1"/>
  <c r="Q3" i="1" s="1"/>
  <c r="N155" i="1" a="1"/>
  <c r="N155" i="1" s="1"/>
  <c r="P399" i="1" a="1"/>
  <c r="P399" i="1" s="1"/>
  <c r="Q345" i="1" a="1"/>
  <c r="Q345" i="1" s="1"/>
  <c r="M241" i="1" a="1"/>
  <c r="M241" i="1" s="1"/>
  <c r="Q151" i="1" a="1"/>
  <c r="Q151" i="1" s="1"/>
  <c r="M169" i="1" a="1"/>
  <c r="M169" i="1" s="1"/>
  <c r="M165" i="1" a="1"/>
  <c r="M165" i="1" s="1"/>
  <c r="O271" i="1" a="1"/>
  <c r="O271" i="1" s="1"/>
  <c r="N303" i="1" a="1"/>
  <c r="N303" i="1" s="1"/>
  <c r="N60" i="1" a="1"/>
  <c r="N60" i="1" s="1"/>
  <c r="P7" i="1" a="1"/>
  <c r="P7" i="1" s="1"/>
  <c r="O198" i="1" a="1"/>
  <c r="O198" i="1" s="1"/>
  <c r="N368" i="1" a="1"/>
  <c r="N368" i="1" s="1"/>
  <c r="P272" i="1" a="1"/>
  <c r="P272" i="1" s="1"/>
  <c r="P297" i="1" a="1"/>
  <c r="P297" i="1" s="1"/>
  <c r="O202" i="1" a="1"/>
  <c r="O202" i="1" s="1"/>
  <c r="Q375" i="1" a="1"/>
  <c r="Q375" i="1" s="1"/>
  <c r="Q184" i="1" a="1"/>
  <c r="Q184" i="1" s="1"/>
  <c r="O167" i="1" a="1"/>
  <c r="O167" i="1" s="1"/>
  <c r="M294" i="1" a="1"/>
  <c r="M294" i="1" s="1"/>
  <c r="N282" i="1" a="1"/>
  <c r="N282" i="1" s="1"/>
  <c r="Q86" i="1" a="1"/>
  <c r="Q86" i="1" s="1"/>
  <c r="R86" i="1" s="1"/>
  <c r="M120" i="1" a="1"/>
  <c r="M120" i="1" s="1"/>
  <c r="O108" i="1" a="1"/>
  <c r="O108" i="1" s="1"/>
  <c r="N260" i="1" a="1"/>
  <c r="N260" i="1" s="1"/>
  <c r="O393" i="1" a="1"/>
  <c r="O393" i="1" s="1"/>
  <c r="O246" i="1" a="1"/>
  <c r="O246" i="1" s="1"/>
  <c r="N299" i="1" a="1"/>
  <c r="N299" i="1" s="1"/>
  <c r="P286" i="1" a="1"/>
  <c r="P286" i="1" s="1"/>
  <c r="P334" i="1" a="1"/>
  <c r="P334" i="1" s="1"/>
  <c r="M71" i="1" a="1"/>
  <c r="M71" i="1" s="1"/>
  <c r="N85" i="1" a="1"/>
  <c r="N85" i="1" s="1"/>
  <c r="Q19" i="1" a="1"/>
  <c r="Q19" i="1" s="1"/>
  <c r="O84" i="1" a="1"/>
  <c r="O84" i="1" s="1"/>
  <c r="M89" i="1" a="1"/>
  <c r="M89" i="1" s="1"/>
  <c r="Q149" i="1" a="1"/>
  <c r="Q149" i="1" s="1"/>
  <c r="N160" i="1" a="1"/>
  <c r="N160" i="1" s="1"/>
  <c r="P58" i="1" a="1"/>
  <c r="P58" i="1" s="1"/>
  <c r="O131" i="1" a="1"/>
  <c r="O131" i="1" s="1"/>
  <c r="N112" i="1" a="1"/>
  <c r="N112" i="1" s="1"/>
  <c r="P100" i="1" a="1"/>
  <c r="P100" i="1" s="1"/>
  <c r="M170" i="1" a="1"/>
  <c r="M170" i="1" s="1"/>
  <c r="M323" i="1" a="1"/>
  <c r="M323" i="1" s="1"/>
  <c r="P326" i="1" a="1"/>
  <c r="P326" i="1" s="1"/>
  <c r="Q236" i="1" a="1"/>
  <c r="Q236" i="1" s="1"/>
  <c r="O66" i="1" a="1"/>
  <c r="O66" i="1" s="1"/>
  <c r="N31" i="1" a="1"/>
  <c r="N31" i="1" s="1"/>
  <c r="N59" i="1" a="1"/>
  <c r="N59" i="1" s="1"/>
  <c r="N175" i="1" a="1"/>
  <c r="N175" i="1" s="1"/>
  <c r="O99" i="1" a="1"/>
  <c r="O99" i="1" s="1"/>
  <c r="N51" i="1" a="1"/>
  <c r="N51" i="1" s="1"/>
  <c r="O80" i="1" a="1"/>
  <c r="O80" i="1" s="1"/>
  <c r="O16" i="1" a="1"/>
  <c r="O16" i="1" s="1"/>
  <c r="P87" i="1" a="1"/>
  <c r="P87" i="1" s="1"/>
  <c r="M105" i="1" a="1"/>
  <c r="M105" i="1" s="1"/>
  <c r="N93" i="1" a="1"/>
  <c r="N93" i="1" s="1"/>
  <c r="P199" i="1" a="1"/>
  <c r="P199" i="1" s="1"/>
  <c r="P231" i="1" a="1"/>
  <c r="P231" i="1" s="1"/>
  <c r="P75" i="1" a="1"/>
  <c r="P75" i="1" s="1"/>
  <c r="N177" i="1" a="1"/>
  <c r="N177" i="1" s="1"/>
  <c r="N89" i="1" a="1"/>
  <c r="N89" i="1" s="1"/>
  <c r="M4" i="1" a="1"/>
  <c r="M4" i="1" s="1"/>
  <c r="N70" i="1" a="1"/>
  <c r="N70" i="1" s="1"/>
  <c r="Q213" i="1" a="1"/>
  <c r="Q213" i="1" s="1"/>
  <c r="P264" i="1" a="1"/>
  <c r="P264" i="1" s="1"/>
  <c r="O345" i="1" a="1"/>
  <c r="O345" i="1" s="1"/>
  <c r="N165" i="1" a="1"/>
  <c r="N165" i="1" s="1"/>
  <c r="M240" i="1" a="1"/>
  <c r="M240" i="1" s="1"/>
  <c r="M107" i="1" a="1"/>
  <c r="M107" i="1" s="1"/>
  <c r="P289" i="1" a="1"/>
  <c r="P289" i="1" s="1"/>
  <c r="O164" i="1" a="1"/>
  <c r="O164" i="1" s="1"/>
  <c r="N213" i="1" a="1"/>
  <c r="N213" i="1" s="1"/>
  <c r="Q414" i="1" a="1"/>
  <c r="Q414" i="1" s="1"/>
  <c r="P317" i="1" a="1"/>
  <c r="P317" i="1" s="1"/>
  <c r="M171" i="1" a="1"/>
  <c r="M171" i="1" s="1"/>
  <c r="P243" i="1" a="1"/>
  <c r="P243" i="1" s="1"/>
  <c r="O3" i="1" a="1"/>
  <c r="O3" i="1" s="1"/>
  <c r="N318" i="1" a="1"/>
  <c r="N318" i="1" s="1"/>
  <c r="O148" i="1" a="1"/>
  <c r="O148" i="1" s="1"/>
  <c r="M317" i="1" a="1"/>
  <c r="M317" i="1" s="1"/>
  <c r="M80" i="1" a="1"/>
  <c r="M80" i="1" s="1"/>
  <c r="O266" i="1" a="1"/>
  <c r="O266" i="1" s="1"/>
  <c r="P327" i="1" a="1"/>
  <c r="P327" i="1" s="1"/>
  <c r="O263" i="1" a="1"/>
  <c r="O263" i="1" s="1"/>
  <c r="Q325" i="1" a="1"/>
  <c r="Q325" i="1" s="1"/>
  <c r="M108" i="1" a="1"/>
  <c r="M108" i="1" s="1"/>
  <c r="O352" i="1" a="1"/>
  <c r="O352" i="1" s="1"/>
  <c r="M65" i="1" a="1"/>
  <c r="M65" i="1" s="1"/>
  <c r="O399" i="1" a="1"/>
  <c r="O399" i="1" s="1"/>
  <c r="M412" i="1" a="1"/>
  <c r="M412" i="1" s="1"/>
  <c r="Q268" i="1" a="1"/>
  <c r="Q268" i="1" s="1"/>
  <c r="M306" i="1" a="1"/>
  <c r="M306" i="1" s="1"/>
  <c r="M216" i="1" a="1"/>
  <c r="M216" i="1" s="1"/>
  <c r="Q241" i="1" a="1"/>
  <c r="Q241" i="1" s="1"/>
  <c r="M85" i="1" a="1"/>
  <c r="M85" i="1" s="1"/>
  <c r="P228" i="1" a="1"/>
  <c r="P228" i="1" s="1"/>
  <c r="N174" i="1" a="1"/>
  <c r="N174" i="1" s="1"/>
  <c r="Q50" i="1" a="1"/>
  <c r="Q50" i="1" s="1"/>
  <c r="Q18" i="1" a="1"/>
  <c r="Q18" i="1" s="1"/>
  <c r="O61" i="1" a="1"/>
  <c r="O61" i="1" s="1"/>
  <c r="N8" i="1" a="1"/>
  <c r="N8" i="1" s="1"/>
  <c r="P68" i="1" a="1"/>
  <c r="P68" i="1" s="1"/>
  <c r="N217" i="1" a="1"/>
  <c r="N217" i="1" s="1"/>
  <c r="P170" i="1" a="1"/>
  <c r="P170" i="1" s="1"/>
  <c r="Q75" i="1" a="1"/>
  <c r="Q75" i="1" s="1"/>
  <c r="Q228" i="1" a="1"/>
  <c r="Q228" i="1" s="1"/>
  <c r="Q140" i="1" a="1"/>
  <c r="Q140" i="1" s="1"/>
  <c r="M197" i="1" a="1"/>
  <c r="M197" i="1" s="1"/>
  <c r="P178" i="1" a="1"/>
  <c r="P178" i="1" s="1"/>
  <c r="Q66" i="1" a="1"/>
  <c r="Q66" i="1" s="1"/>
  <c r="Q255" i="1" a="1"/>
  <c r="Q255" i="1" s="1"/>
  <c r="M23" i="1" a="1"/>
  <c r="M23" i="1" s="1"/>
  <c r="M158" i="1" a="1"/>
  <c r="M158" i="1" s="1"/>
  <c r="N239" i="1" a="1"/>
  <c r="N239" i="1" s="1"/>
  <c r="O242" i="1" a="1"/>
  <c r="O242" i="1" s="1"/>
  <c r="M280" i="1" a="1"/>
  <c r="M280" i="1" s="1"/>
  <c r="N64" i="1" a="1"/>
  <c r="N64" i="1" s="1"/>
  <c r="N342" i="1" a="1"/>
  <c r="N342" i="1" s="1"/>
  <c r="P196" i="1" a="1"/>
  <c r="P196" i="1" s="1"/>
  <c r="N102" i="1" a="1"/>
  <c r="N102" i="1" s="1"/>
  <c r="Q146" i="1" a="1"/>
  <c r="Q146" i="1" s="1"/>
  <c r="R146" i="1" s="1"/>
  <c r="Q83" i="1" a="1"/>
  <c r="Q83" i="1" s="1"/>
  <c r="O71" i="1" a="1"/>
  <c r="O71" i="1" s="1"/>
  <c r="N361" i="1" a="1"/>
  <c r="N361" i="1" s="1"/>
  <c r="Q191" i="1" a="1"/>
  <c r="Q191" i="1" s="1"/>
  <c r="O294" i="1" a="1"/>
  <c r="O294" i="1" s="1"/>
  <c r="Q91" i="1" a="1"/>
  <c r="Q91" i="1" s="1"/>
  <c r="M55" i="1" a="1"/>
  <c r="M55" i="1" s="1"/>
  <c r="M281" i="1" a="1"/>
  <c r="M281" i="1" s="1"/>
  <c r="N254" i="1" a="1"/>
  <c r="N254" i="1" s="1"/>
  <c r="Q341" i="1" a="1"/>
  <c r="Q341" i="1" s="1"/>
  <c r="N4" i="1" a="1"/>
  <c r="N4" i="1" s="1"/>
  <c r="P405" i="1" a="1"/>
  <c r="P405" i="1" s="1"/>
  <c r="M93" i="1" a="1"/>
  <c r="M93" i="1" s="1"/>
  <c r="Q178" i="1" a="1"/>
  <c r="Q178" i="1" s="1"/>
  <c r="O259" i="1" a="1"/>
  <c r="O259" i="1" s="1"/>
  <c r="N6" i="1" a="1"/>
  <c r="N6" i="1" s="1"/>
  <c r="Q364" i="1" a="1"/>
  <c r="Q364" i="1" s="1"/>
  <c r="Q271" i="1" a="1"/>
  <c r="Q271" i="1" s="1"/>
  <c r="P143" i="1" a="1"/>
  <c r="P143" i="1" s="1"/>
  <c r="N66" i="1" a="1"/>
  <c r="N66" i="1" s="1"/>
  <c r="O116" i="1" a="1"/>
  <c r="O116" i="1" s="1"/>
  <c r="O341" i="1" a="1"/>
  <c r="O341" i="1" s="1"/>
  <c r="M209" i="1" a="1"/>
  <c r="M209" i="1" s="1"/>
  <c r="P318" i="1" a="1"/>
  <c r="P318" i="1" s="1"/>
  <c r="P237" i="1" a="1"/>
  <c r="P237" i="1" s="1"/>
  <c r="M8" i="1" a="1"/>
  <c r="M8" i="1" s="1"/>
  <c r="N20" i="1" a="1"/>
  <c r="N20" i="1" s="1"/>
  <c r="O275" i="1" a="1"/>
  <c r="O275" i="1" s="1"/>
  <c r="Q308" i="1" a="1"/>
  <c r="Q308" i="1" s="1"/>
  <c r="P171" i="1" a="1"/>
  <c r="P171" i="1" s="1"/>
  <c r="Q157" i="1" a="1"/>
  <c r="Q157" i="1" s="1"/>
  <c r="P310" i="1" a="1"/>
  <c r="P310" i="1" s="1"/>
  <c r="O126" i="1" a="1"/>
  <c r="O126" i="1" s="1"/>
  <c r="N378" i="1" a="1"/>
  <c r="N378" i="1" s="1"/>
  <c r="M246" i="1" a="1"/>
  <c r="M246" i="1" s="1"/>
  <c r="O378" i="1" a="1"/>
  <c r="O378" i="1" s="1"/>
  <c r="Q214" i="1" a="1"/>
  <c r="Q214" i="1" s="1"/>
  <c r="P51" i="1" a="1"/>
  <c r="P51" i="1" s="1"/>
  <c r="M304" i="1" a="1"/>
  <c r="M304" i="1" s="1"/>
  <c r="Q273" i="1" a="1"/>
  <c r="Q273" i="1" s="1"/>
  <c r="O243" i="1" a="1"/>
  <c r="O243" i="1" s="1"/>
  <c r="Q245" i="1" a="1"/>
  <c r="Q245" i="1" s="1"/>
  <c r="Q361" i="1" a="1"/>
  <c r="Q361" i="1" s="1"/>
  <c r="R361" i="1" s="1"/>
  <c r="P281" i="1" a="1"/>
  <c r="P281" i="1" s="1"/>
  <c r="M315" i="1" a="1"/>
  <c r="M315" i="1" s="1"/>
  <c r="M329" i="1" a="1"/>
  <c r="M329" i="1" s="1"/>
  <c r="O142" i="1" a="1"/>
  <c r="O142" i="1" s="1"/>
  <c r="M175" i="1" a="1"/>
  <c r="M175" i="1" s="1"/>
  <c r="O299" i="1" a="1"/>
  <c r="O299" i="1" s="1"/>
  <c r="P240" i="1" a="1"/>
  <c r="P240" i="1" s="1"/>
  <c r="Q374" i="1" a="1"/>
  <c r="Q374" i="1" s="1"/>
  <c r="O200" i="1" a="1"/>
  <c r="O200" i="1" s="1"/>
  <c r="M262" i="1" a="1"/>
  <c r="M262" i="1" s="1"/>
  <c r="P389" i="1" a="1"/>
  <c r="P389" i="1" s="1"/>
  <c r="M418" i="1" a="1"/>
  <c r="M418" i="1" s="1"/>
  <c r="Q164" i="1" a="1"/>
  <c r="Q164" i="1" s="1"/>
  <c r="R164" i="1" s="1"/>
  <c r="N136" i="1" a="1"/>
  <c r="N136" i="1" s="1"/>
  <c r="N166" i="1" a="1"/>
  <c r="N166" i="1" s="1"/>
  <c r="P189" i="1" a="1"/>
  <c r="P189" i="1" s="1"/>
  <c r="P253" i="1" a="1"/>
  <c r="P253" i="1" s="1"/>
  <c r="N15" i="1" a="1"/>
  <c r="N15" i="1" s="1"/>
  <c r="M142" i="1" a="1"/>
  <c r="M142" i="1" s="1"/>
  <c r="O218" i="1" a="1"/>
  <c r="O218" i="1" s="1"/>
  <c r="N143" i="1" a="1"/>
  <c r="N143" i="1" s="1"/>
  <c r="M223" i="1" a="1"/>
  <c r="M223" i="1" s="1"/>
  <c r="O95" i="1" a="1"/>
  <c r="O95" i="1" s="1"/>
  <c r="O150" i="1" a="1"/>
  <c r="O150" i="1" s="1"/>
  <c r="Q200" i="1" a="1"/>
  <c r="Q200" i="1" s="1"/>
  <c r="R200" i="1" s="1"/>
  <c r="Q234" i="1" a="1"/>
  <c r="Q234" i="1" s="1"/>
  <c r="R234" i="1" s="1"/>
  <c r="P357" i="1" a="1"/>
  <c r="P357" i="1" s="1"/>
  <c r="M140" i="1" a="1"/>
  <c r="M140" i="1" s="1"/>
  <c r="O176" i="1" a="1"/>
  <c r="O176" i="1" s="1"/>
  <c r="N74" i="1" a="1"/>
  <c r="N74" i="1" s="1"/>
  <c r="P223" i="1" a="1"/>
  <c r="P223" i="1" s="1"/>
  <c r="N61" i="1" a="1"/>
  <c r="N61" i="1" s="1"/>
  <c r="N132" i="1" a="1"/>
  <c r="N132" i="1" s="1"/>
  <c r="M210" i="1" a="1"/>
  <c r="M210" i="1" s="1"/>
  <c r="P207" i="1" a="1"/>
  <c r="P207" i="1" s="1"/>
  <c r="M95" i="1" a="1"/>
  <c r="M95" i="1" s="1"/>
  <c r="O286" i="1" a="1"/>
  <c r="O286" i="1" s="1"/>
  <c r="O343" i="1" a="1"/>
  <c r="O343" i="1" s="1"/>
  <c r="Q137" i="1" a="1"/>
  <c r="Q137" i="1" s="1"/>
  <c r="N12" i="1" a="1"/>
  <c r="N12" i="1" s="1"/>
  <c r="Q112" i="1" a="1"/>
  <c r="Q112" i="1" s="1"/>
  <c r="R112" i="1" s="1"/>
  <c r="M245" i="1" a="1"/>
  <c r="M245" i="1" s="1"/>
  <c r="O58" i="1" a="1"/>
  <c r="O58" i="1" s="1"/>
  <c r="P380" i="1" a="1"/>
  <c r="P380" i="1" s="1"/>
  <c r="Q174" i="1" a="1"/>
  <c r="Q174" i="1" s="1"/>
  <c r="R174" i="1" s="1"/>
  <c r="Q41" i="1" a="1"/>
  <c r="Q41" i="1" s="1"/>
  <c r="O272" i="1" a="1"/>
  <c r="O272" i="1" s="1"/>
  <c r="O54" i="1" a="1"/>
  <c r="O54" i="1" s="1"/>
  <c r="N131" i="1" a="1"/>
  <c r="N131" i="1" s="1"/>
  <c r="O182" i="1" a="1"/>
  <c r="O182" i="1" s="1"/>
  <c r="N198" i="1" a="1"/>
  <c r="N198" i="1" s="1"/>
  <c r="O254" i="1" a="1"/>
  <c r="O254" i="1" s="1"/>
  <c r="N354" i="1" a="1"/>
  <c r="N354" i="1" s="1"/>
  <c r="Q320" i="1" a="1"/>
  <c r="Q320" i="1" s="1"/>
  <c r="Q223" i="1" a="1"/>
  <c r="Q223" i="1" s="1"/>
  <c r="R223" i="1" s="1"/>
  <c r="O367" i="1" a="1"/>
  <c r="O367" i="1" s="1"/>
  <c r="Q224" i="1" a="1"/>
  <c r="Q224" i="1" s="1"/>
  <c r="M30" i="1" a="1"/>
  <c r="M30" i="1" s="1"/>
  <c r="N288" i="1" a="1"/>
  <c r="N288" i="1" s="1"/>
  <c r="M200" i="1" a="1"/>
  <c r="M200" i="1" s="1"/>
  <c r="O370" i="1" a="1"/>
  <c r="O370" i="1" s="1"/>
  <c r="N301" i="1" a="1"/>
  <c r="N301" i="1" s="1"/>
  <c r="P258" i="1" a="1"/>
  <c r="P258" i="1" s="1"/>
  <c r="Q54" i="1" a="1"/>
  <c r="Q54" i="1" s="1"/>
  <c r="R54" i="1" s="1"/>
  <c r="Q76" i="1" a="1"/>
  <c r="Q76" i="1" s="1"/>
  <c r="P356" i="1" a="1"/>
  <c r="P356" i="1" s="1"/>
  <c r="N416" i="1" a="1"/>
  <c r="N416" i="1" s="1"/>
  <c r="N3" i="1" a="1"/>
  <c r="N3" i="1" s="1"/>
  <c r="Q93" i="1" a="1"/>
  <c r="Q93" i="1" s="1"/>
  <c r="P18" i="1" a="1"/>
  <c r="P18" i="1" s="1"/>
  <c r="M146" i="1" a="1"/>
  <c r="M146" i="1" s="1"/>
  <c r="N366" i="1" a="1"/>
  <c r="N366" i="1" s="1"/>
  <c r="M310" i="1" a="1"/>
  <c r="M310" i="1" s="1"/>
  <c r="N320" i="1" a="1"/>
  <c r="N320" i="1" s="1"/>
  <c r="N305" i="1" a="1"/>
  <c r="N305" i="1" s="1"/>
  <c r="N240" i="1" a="1"/>
  <c r="N240" i="1" s="1"/>
  <c r="O339" i="1" a="1"/>
  <c r="O339" i="1" s="1"/>
  <c r="M224" i="1" a="1"/>
  <c r="M224" i="1" s="1"/>
  <c r="P360" i="1" a="1"/>
  <c r="P360" i="1" s="1"/>
  <c r="N415" i="1" a="1"/>
  <c r="N415" i="1" s="1"/>
  <c r="N183" i="1" a="1"/>
  <c r="N183" i="1" s="1"/>
  <c r="N395" i="1" a="1"/>
  <c r="N395" i="1" s="1"/>
  <c r="O333" i="1" a="1"/>
  <c r="O333" i="1" s="1"/>
  <c r="P108" i="1" a="1"/>
  <c r="P108" i="1" s="1"/>
  <c r="O317" i="1" a="1"/>
  <c r="O317" i="1" s="1"/>
  <c r="P335" i="1" a="1"/>
  <c r="P335" i="1" s="1"/>
  <c r="P197" i="1" a="1"/>
  <c r="P197" i="1" s="1"/>
  <c r="Q335" i="1" a="1"/>
  <c r="Q335" i="1" s="1"/>
  <c r="P175" i="1" a="1"/>
  <c r="P175" i="1" s="1"/>
  <c r="O88" i="1" a="1"/>
  <c r="O88" i="1" s="1"/>
  <c r="Q415" i="1" a="1"/>
  <c r="Q415" i="1" s="1"/>
  <c r="M125" i="1" a="1"/>
  <c r="M125" i="1" s="1"/>
  <c r="Q152" i="1" a="1"/>
  <c r="Q152" i="1" s="1"/>
  <c r="R152" i="1" s="1"/>
  <c r="N375" i="1" a="1"/>
  <c r="N375" i="1" s="1"/>
  <c r="P117" i="1" a="1"/>
  <c r="P117" i="1" s="1"/>
  <c r="Q384" i="1" a="1"/>
  <c r="Q384" i="1" s="1"/>
  <c r="P269" i="1" a="1"/>
  <c r="P269" i="1" s="1"/>
  <c r="N231" i="1" a="1"/>
  <c r="N231" i="1" s="1"/>
  <c r="Q304" i="1" a="1"/>
  <c r="Q304" i="1" s="1"/>
  <c r="P96" i="1" a="1"/>
  <c r="P96" i="1" s="1"/>
  <c r="Q69" i="1" a="1"/>
  <c r="Q69" i="1" s="1"/>
  <c r="P145" i="1" a="1"/>
  <c r="P145" i="1" s="1"/>
  <c r="O192" i="1" a="1"/>
  <c r="O192" i="1" s="1"/>
  <c r="O203" i="1" a="1"/>
  <c r="O203" i="1" s="1"/>
  <c r="Q275" i="1" a="1"/>
  <c r="Q275" i="1" s="1"/>
  <c r="P348" i="1" a="1"/>
  <c r="P348" i="1" s="1"/>
  <c r="N167" i="1" a="1"/>
  <c r="N167" i="1" s="1"/>
  <c r="O356" i="1" a="1"/>
  <c r="O356" i="1" s="1"/>
  <c r="Q55" i="1" a="1"/>
  <c r="Q55" i="1" s="1"/>
  <c r="N56" i="1" a="1"/>
  <c r="N56" i="1" s="1"/>
  <c r="O23" i="1" a="1"/>
  <c r="O23" i="1" s="1"/>
  <c r="Q248" i="1" a="1"/>
  <c r="Q248" i="1" s="1"/>
  <c r="O5" i="1" a="1"/>
  <c r="O5" i="1" s="1"/>
  <c r="Q301" i="1" a="1"/>
  <c r="Q301" i="1" s="1"/>
  <c r="N355" i="1" a="1"/>
  <c r="N355" i="1" s="1"/>
  <c r="N325" i="1" a="1"/>
  <c r="N325" i="1" s="1"/>
  <c r="N259" i="1" a="1"/>
  <c r="N259" i="1" s="1"/>
  <c r="O59" i="1" a="1"/>
  <c r="O59" i="1" s="1"/>
  <c r="O265" i="1" a="1"/>
  <c r="O265" i="1" s="1"/>
  <c r="P91" i="1" a="1"/>
  <c r="P91" i="1" s="1"/>
  <c r="N340" i="1" a="1"/>
  <c r="N340" i="1" s="1"/>
  <c r="N52" i="1" a="1"/>
  <c r="N52" i="1" s="1"/>
  <c r="Q312" i="1" a="1"/>
  <c r="Q312" i="1" s="1"/>
  <c r="O257" i="1" a="1"/>
  <c r="O257" i="1" s="1"/>
  <c r="O413" i="1" a="1"/>
  <c r="O413" i="1" s="1"/>
  <c r="M319" i="1" a="1"/>
  <c r="M319" i="1" s="1"/>
  <c r="O306" i="1" a="1"/>
  <c r="O306" i="1" s="1"/>
  <c r="N399" i="1" a="1"/>
  <c r="N399" i="1" s="1"/>
  <c r="M135" i="1" a="1"/>
  <c r="M135" i="1" s="1"/>
  <c r="M270" i="1" a="1"/>
  <c r="M270" i="1" s="1"/>
  <c r="Q269" i="1" a="1"/>
  <c r="Q269" i="1" s="1"/>
  <c r="M268" i="1" a="1"/>
  <c r="M268" i="1" s="1"/>
  <c r="O419" i="1" a="1"/>
  <c r="O419" i="1" s="1"/>
  <c r="Q188" i="1" a="1"/>
  <c r="Q188" i="1" s="1"/>
  <c r="Q235" i="1" a="1"/>
  <c r="Q235" i="1" s="1"/>
  <c r="R235" i="1" s="1"/>
  <c r="Q264" i="1" a="1"/>
  <c r="Q264" i="1" s="1"/>
  <c r="M222" i="1" a="1"/>
  <c r="M222" i="1" s="1"/>
  <c r="P275" i="1" a="1"/>
  <c r="P275" i="1" s="1"/>
  <c r="P202" i="1" a="1"/>
  <c r="P202" i="1" s="1"/>
  <c r="N360" i="1" a="1"/>
  <c r="N360" i="1" s="1"/>
  <c r="N209" i="1" a="1"/>
  <c r="N209" i="1" s="1"/>
  <c r="Q354" i="1" a="1"/>
  <c r="Q354" i="1" s="1"/>
  <c r="P50" i="1" a="1"/>
  <c r="P50" i="1" s="1"/>
  <c r="Q249" i="1" a="1"/>
  <c r="Q249" i="1" s="1"/>
  <c r="P359" i="1" a="1"/>
  <c r="P359" i="1" s="1"/>
  <c r="M343" i="1" a="1"/>
  <c r="M343" i="1" s="1"/>
  <c r="O184" i="1" a="1"/>
  <c r="O184" i="1" s="1"/>
  <c r="N242" i="1" a="1"/>
  <c r="N242" i="1" s="1"/>
  <c r="P415" i="1" a="1"/>
  <c r="P415" i="1" s="1"/>
  <c r="P328" i="1" a="1"/>
  <c r="P328" i="1" s="1"/>
  <c r="P311" i="1" a="1"/>
  <c r="P311" i="1" s="1"/>
  <c r="N277" i="1" a="1"/>
  <c r="N277" i="1" s="1"/>
  <c r="P306" i="1" a="1"/>
  <c r="P306" i="1" s="1"/>
  <c r="O180" i="1" a="1"/>
  <c r="O180" i="1" s="1"/>
  <c r="M206" i="1" a="1"/>
  <c r="M206" i="1" s="1"/>
  <c r="O353" i="1" a="1"/>
  <c r="O353" i="1" s="1"/>
  <c r="N253" i="1" a="1"/>
  <c r="N253" i="1" s="1"/>
  <c r="O318" i="1" a="1"/>
  <c r="O318" i="1" s="1"/>
  <c r="M35" i="1" a="1"/>
  <c r="M35" i="1" s="1"/>
  <c r="Q344" i="1" a="1"/>
  <c r="Q344" i="1" s="1"/>
  <c r="N384" i="1" a="1"/>
  <c r="N384" i="1" s="1"/>
  <c r="O119" i="1" a="1"/>
  <c r="O119" i="1" s="1"/>
  <c r="M403" i="1" a="1"/>
  <c r="M403" i="1" s="1"/>
  <c r="M348" i="1" a="1"/>
  <c r="M348" i="1" s="1"/>
  <c r="O228" i="1" a="1"/>
  <c r="O228" i="1" s="1"/>
  <c r="N29" i="1" a="1"/>
  <c r="N29" i="1" s="1"/>
  <c r="P263" i="1" a="1"/>
  <c r="P263" i="1" s="1"/>
  <c r="Q330" i="1" a="1"/>
  <c r="Q330" i="1" s="1"/>
  <c r="P364" i="1" a="1"/>
  <c r="P364" i="1" s="1"/>
  <c r="N261" i="1" a="1"/>
  <c r="N261" i="1" s="1"/>
  <c r="O67" i="1" a="1"/>
  <c r="O67" i="1" s="1"/>
  <c r="Q180" i="1" a="1"/>
  <c r="Q180" i="1" s="1"/>
  <c r="P414" i="1" a="1"/>
  <c r="P414" i="1" s="1"/>
  <c r="O10" i="1" a="1"/>
  <c r="O10" i="1" s="1"/>
  <c r="P345" i="1" a="1"/>
  <c r="P345" i="1" s="1"/>
  <c r="N346" i="1" a="1"/>
  <c r="N346" i="1" s="1"/>
  <c r="N280" i="1" a="1"/>
  <c r="N280" i="1" s="1"/>
  <c r="M335" i="1" a="1"/>
  <c r="M335" i="1" s="1"/>
  <c r="M77" i="1" a="1"/>
  <c r="M77" i="1" s="1"/>
  <c r="Q105" i="1" a="1"/>
  <c r="Q105" i="1" s="1"/>
  <c r="P220" i="1" a="1"/>
  <c r="P220" i="1" s="1"/>
  <c r="N247" i="1" a="1"/>
  <c r="N247" i="1" s="1"/>
  <c r="Q276" i="1" a="1"/>
  <c r="Q276" i="1" s="1"/>
  <c r="Q336" i="1" a="1"/>
  <c r="Q336" i="1" s="1"/>
  <c r="P55" i="1" a="1"/>
  <c r="P55" i="1" s="1"/>
  <c r="O290" i="1" a="1"/>
  <c r="O290" i="1" s="1"/>
  <c r="P312" i="1" a="1"/>
  <c r="P312" i="1" s="1"/>
  <c r="N265" i="1" a="1"/>
  <c r="N265" i="1" s="1"/>
  <c r="Q403" i="1" a="1"/>
  <c r="Q403" i="1" s="1"/>
  <c r="M194" i="1" a="1"/>
  <c r="M194" i="1" s="1"/>
  <c r="O401" i="1" a="1"/>
  <c r="O401" i="1" s="1"/>
  <c r="M48" i="1" a="1"/>
  <c r="M48" i="1" s="1"/>
  <c r="N376" i="1" a="1"/>
  <c r="N376" i="1" s="1"/>
  <c r="P358" i="1" a="1"/>
  <c r="P358" i="1" s="1"/>
  <c r="O302" i="1" a="1"/>
  <c r="O302" i="1" s="1"/>
  <c r="Q251" i="1" a="1"/>
  <c r="Q251" i="1" s="1"/>
  <c r="N357" i="1" a="1"/>
  <c r="N357" i="1" s="1"/>
  <c r="Q407" i="1" a="1"/>
  <c r="Q407" i="1" s="1"/>
  <c r="N406" i="1" a="1"/>
  <c r="N406" i="1" s="1"/>
  <c r="O147" i="1" a="1"/>
  <c r="O147" i="1" s="1"/>
  <c r="N330" i="1" a="1"/>
  <c r="N330" i="1" s="1"/>
  <c r="O18" i="1" a="1"/>
  <c r="O18" i="1" s="1"/>
  <c r="Q331" i="1" a="1"/>
  <c r="Q331" i="1" s="1"/>
  <c r="M359" i="1" a="1"/>
  <c r="M359" i="1" s="1"/>
  <c r="P407" i="1" a="1"/>
  <c r="P407" i="1" s="1"/>
  <c r="O312" i="1" a="1"/>
  <c r="O312" i="1" s="1"/>
  <c r="P182" i="1" a="1"/>
  <c r="P182" i="1" s="1"/>
  <c r="M385" i="1" a="1"/>
  <c r="M385" i="1" s="1"/>
  <c r="O213" i="1" a="1"/>
  <c r="O213" i="1" s="1"/>
  <c r="Q357" i="1" a="1"/>
  <c r="Q357" i="1" s="1"/>
  <c r="Q385" i="1" a="1"/>
  <c r="Q385" i="1" s="1"/>
  <c r="O28" i="1" a="1"/>
  <c r="O28" i="1" s="1"/>
  <c r="O375" i="1" a="1"/>
  <c r="O375" i="1" s="1"/>
  <c r="O331" i="1" a="1"/>
  <c r="O331" i="1" s="1"/>
  <c r="N268" i="1" a="1"/>
  <c r="N268" i="1" s="1"/>
  <c r="N55" i="1" a="1"/>
  <c r="N55" i="1" s="1"/>
  <c r="N327" i="1" a="1"/>
  <c r="N327" i="1" s="1"/>
  <c r="M361" i="1" a="1"/>
  <c r="M361" i="1" s="1"/>
  <c r="O310" i="1" a="1"/>
  <c r="O310" i="1" s="1"/>
  <c r="N276" i="1" a="1"/>
  <c r="N276" i="1" s="1"/>
  <c r="N294" i="1" a="1"/>
  <c r="N294" i="1" s="1"/>
  <c r="P366" i="1" a="1"/>
  <c r="P366" i="1" s="1"/>
  <c r="Q362" i="1" a="1"/>
  <c r="Q362" i="1" s="1"/>
  <c r="P206" i="1" a="1"/>
  <c r="P206" i="1" s="1"/>
  <c r="O337" i="1" a="1"/>
  <c r="O337" i="1" s="1"/>
  <c r="N410" i="1" a="1"/>
  <c r="N410" i="1" s="1"/>
  <c r="O300" i="1" a="1"/>
  <c r="O300" i="1" s="1"/>
  <c r="N381" i="1" a="1"/>
  <c r="N381" i="1" s="1"/>
  <c r="Q120" i="1" a="1"/>
  <c r="Q120" i="1" s="1"/>
  <c r="R120" i="1" s="1"/>
  <c r="P400" i="1" a="1"/>
  <c r="P400" i="1" s="1"/>
  <c r="P413" i="1" a="1"/>
  <c r="P413" i="1" s="1"/>
  <c r="M328" i="1" a="1"/>
  <c r="M328" i="1" s="1"/>
  <c r="O273" i="1" a="1"/>
  <c r="O273" i="1" s="1"/>
  <c r="M57" i="1" a="1"/>
  <c r="M57" i="1" s="1"/>
  <c r="N264" i="1" a="1"/>
  <c r="N264" i="1" s="1"/>
  <c r="O405" i="1" a="1"/>
  <c r="O405" i="1" s="1"/>
  <c r="N270" i="1" a="1"/>
  <c r="N270" i="1" s="1"/>
  <c r="Q240" i="1" a="1"/>
  <c r="Q240" i="1" s="1"/>
  <c r="Q323" i="1" a="1"/>
  <c r="Q323" i="1" s="1"/>
  <c r="N168" i="1" a="1"/>
  <c r="N168" i="1" s="1"/>
  <c r="Q358" i="1" a="1"/>
  <c r="Q358" i="1" s="1"/>
  <c r="O145" i="1" a="1"/>
  <c r="O145" i="1" s="1"/>
  <c r="M324" i="1" a="1"/>
  <c r="M324" i="1" s="1"/>
  <c r="O139" i="1" a="1"/>
  <c r="O139" i="1" s="1"/>
  <c r="Q35" i="1" a="1"/>
  <c r="Q35" i="1" s="1"/>
  <c r="N152" i="1" a="1"/>
  <c r="N152" i="1" s="1"/>
  <c r="Q175" i="1" a="1"/>
  <c r="Q175" i="1" s="1"/>
  <c r="Q412" i="1" a="1"/>
  <c r="Q412" i="1" s="1"/>
  <c r="M189" i="1" a="1"/>
  <c r="M189" i="1" s="1"/>
  <c r="N149" i="1" a="1"/>
  <c r="N149" i="1" s="1"/>
  <c r="M154" i="1" a="1"/>
  <c r="M154" i="1" s="1"/>
  <c r="O215" i="1" a="1"/>
  <c r="O215" i="1" s="1"/>
  <c r="O227" i="1" a="1"/>
  <c r="O227" i="1" s="1"/>
  <c r="P13" i="1" a="1"/>
  <c r="P13" i="1" s="1"/>
  <c r="P11" i="1" a="1"/>
  <c r="P11" i="1" s="1"/>
  <c r="N263" i="1" a="1"/>
  <c r="N263" i="1" s="1"/>
  <c r="Q136" i="1" a="1"/>
  <c r="Q136" i="1" s="1"/>
  <c r="R136" i="1" s="1"/>
  <c r="P95" i="1" a="1"/>
  <c r="P95" i="1" s="1"/>
  <c r="N403" i="1" a="1"/>
  <c r="N403" i="1" s="1"/>
  <c r="N298" i="1" a="1"/>
  <c r="N298" i="1" s="1"/>
  <c r="P384" i="1" a="1"/>
  <c r="P384" i="1" s="1"/>
  <c r="O101" i="1" a="1"/>
  <c r="O101" i="1" s="1"/>
  <c r="P295" i="1" a="1"/>
  <c r="P295" i="1" s="1"/>
  <c r="Q373" i="1" a="1"/>
  <c r="Q373" i="1" s="1"/>
  <c r="P285" i="1" a="1"/>
  <c r="P285" i="1" s="1"/>
  <c r="M180" i="1" a="1"/>
  <c r="M180" i="1" s="1"/>
  <c r="P193" i="1" a="1"/>
  <c r="P193" i="1" s="1"/>
  <c r="N205" i="1" a="1"/>
  <c r="N205" i="1" s="1"/>
  <c r="N319" i="1" a="1"/>
  <c r="N319" i="1" s="1"/>
  <c r="N345" i="1" a="1"/>
  <c r="N345" i="1" s="1"/>
  <c r="O208" i="1" a="1"/>
  <c r="O208" i="1" s="1"/>
  <c r="P219" i="1" a="1"/>
  <c r="P219" i="1" s="1"/>
  <c r="N292" i="1" a="1"/>
  <c r="N292" i="1" s="1"/>
  <c r="N317" i="1" a="1"/>
  <c r="N317" i="1" s="1"/>
  <c r="O211" i="1" a="1"/>
  <c r="O211" i="1" s="1"/>
  <c r="M198" i="1" a="1"/>
  <c r="M198" i="1" s="1"/>
  <c r="O319" i="1" a="1"/>
  <c r="O319" i="1" s="1"/>
  <c r="M21" i="1" a="1"/>
  <c r="M21" i="1" s="1"/>
  <c r="Q265" i="1" a="1"/>
  <c r="Q265" i="1" s="1"/>
  <c r="N370" i="1" a="1"/>
  <c r="N370" i="1" s="1"/>
  <c r="P150" i="1" a="1"/>
  <c r="P150" i="1" s="1"/>
  <c r="N188" i="1" a="1"/>
  <c r="N188" i="1" s="1"/>
  <c r="M82" i="1" a="1"/>
  <c r="M82" i="1" s="1"/>
  <c r="P144" i="1" a="1"/>
  <c r="P144" i="1" s="1"/>
  <c r="M384" i="1" a="1"/>
  <c r="M384" i="1" s="1"/>
  <c r="N281" i="1" a="1"/>
  <c r="N281" i="1" s="1"/>
  <c r="Q367" i="1" a="1"/>
  <c r="Q367" i="1" s="1"/>
  <c r="Q280" i="1" a="1"/>
  <c r="Q280" i="1" s="1"/>
  <c r="M36" i="1" a="1"/>
  <c r="M36" i="1" s="1"/>
  <c r="Q298" i="1" a="1"/>
  <c r="Q298" i="1" s="1"/>
  <c r="P321" i="1" a="1"/>
  <c r="P321" i="1" s="1"/>
  <c r="P97" i="1" a="1"/>
  <c r="P97" i="1" s="1"/>
  <c r="Q387" i="1" a="1"/>
  <c r="Q387" i="1" s="1"/>
  <c r="P279" i="1" a="1"/>
  <c r="P279" i="1" s="1"/>
  <c r="P307" i="1" a="1"/>
  <c r="P307" i="1" s="1"/>
  <c r="M122" i="1" a="1"/>
  <c r="M122" i="1" s="1"/>
  <c r="P184" i="1" a="1"/>
  <c r="P184" i="1" s="1"/>
  <c r="M338" i="1" a="1"/>
  <c r="M338" i="1" s="1"/>
  <c r="O362" i="1" a="1"/>
  <c r="O362" i="1" s="1"/>
  <c r="N387" i="1" a="1"/>
  <c r="N387" i="1" s="1"/>
  <c r="P252" i="1" a="1"/>
  <c r="P252" i="1" s="1"/>
  <c r="N397" i="1" a="1"/>
  <c r="N397" i="1" s="1"/>
  <c r="M50" i="1" a="1"/>
  <c r="M50" i="1" s="1"/>
  <c r="Q204" i="1" a="1"/>
  <c r="Q204" i="1" s="1"/>
  <c r="O402" i="1" a="1"/>
  <c r="O402" i="1" s="1"/>
  <c r="P233" i="1" a="1"/>
  <c r="P233" i="1" s="1"/>
  <c r="M386" i="1" a="1"/>
  <c r="M386" i="1" s="1"/>
  <c r="M409" i="1" a="1"/>
  <c r="M409" i="1" s="1"/>
  <c r="N379" i="1" a="1"/>
  <c r="N379" i="1" s="1"/>
  <c r="N336" i="1" a="1"/>
  <c r="N336" i="1" s="1"/>
  <c r="M299" i="1" a="1"/>
  <c r="M299" i="1" s="1"/>
  <c r="Q377" i="1" a="1"/>
  <c r="Q377" i="1" s="1"/>
  <c r="R377" i="1" s="1"/>
  <c r="O412" i="1" a="1"/>
  <c r="O412" i="1" s="1"/>
  <c r="P303" i="1" a="1"/>
  <c r="P303" i="1" s="1"/>
  <c r="M227" i="1" a="1"/>
  <c r="M227" i="1" s="1"/>
  <c r="O355" i="1" a="1"/>
  <c r="O355" i="1" s="1"/>
  <c r="M399" i="1" a="1"/>
  <c r="M399" i="1" s="1"/>
  <c r="Q284" i="1" a="1"/>
  <c r="Q284" i="1" s="1"/>
  <c r="P411" i="1" a="1"/>
  <c r="P411" i="1" s="1"/>
  <c r="O42" i="1" a="1"/>
  <c r="O42" i="1" s="1"/>
  <c r="Q177" i="1" a="1"/>
  <c r="Q177" i="1" s="1"/>
  <c r="P390" i="1" a="1"/>
  <c r="P390" i="1" s="1"/>
  <c r="N383" i="1" a="1"/>
  <c r="N383" i="1" s="1"/>
  <c r="Q289" i="1" a="1"/>
  <c r="Q289" i="1" s="1"/>
  <c r="M37" i="1" a="1"/>
  <c r="M37" i="1" s="1"/>
  <c r="M287" i="1" a="1"/>
  <c r="M287" i="1" s="1"/>
  <c r="P57" i="1" a="1"/>
  <c r="P57" i="1" s="1"/>
  <c r="M360" i="1" a="1"/>
  <c r="M360" i="1" s="1"/>
  <c r="Q328" i="1" a="1"/>
  <c r="Q328" i="1" s="1"/>
  <c r="M371" i="1" a="1"/>
  <c r="M371" i="1" s="1"/>
  <c r="M15" i="1" a="1"/>
  <c r="M15" i="1" s="1"/>
  <c r="N418" i="1" a="1"/>
  <c r="N418" i="1" s="1"/>
  <c r="O248" i="1" a="1"/>
  <c r="O248" i="1" s="1"/>
  <c r="O311" i="1" a="1"/>
  <c r="O311" i="1" s="1"/>
  <c r="Q342" i="1" a="1"/>
  <c r="Q342" i="1" s="1"/>
  <c r="R342" i="1" s="1"/>
  <c r="P59" i="1" a="1"/>
  <c r="P59" i="1" s="1"/>
  <c r="Q237" i="1" a="1"/>
  <c r="Q237" i="1" s="1"/>
  <c r="M391" i="1" a="1"/>
  <c r="M391" i="1" s="1"/>
  <c r="N169" i="1" a="1"/>
  <c r="N169" i="1" s="1"/>
  <c r="P401" i="1" a="1"/>
  <c r="P401" i="1" s="1"/>
  <c r="O394" i="1" a="1"/>
  <c r="O394" i="1" s="1"/>
  <c r="P417" i="1" a="1"/>
  <c r="P417" i="1" s="1"/>
  <c r="Q24" i="1" a="1"/>
  <c r="Q24" i="1" s="1"/>
  <c r="O304" i="1" a="1"/>
  <c r="O304" i="1" s="1"/>
  <c r="M205" i="1" a="1"/>
  <c r="M205" i="1" s="1"/>
  <c r="N40" i="1" a="1"/>
  <c r="N40" i="1" s="1"/>
  <c r="M407" i="1" a="1"/>
  <c r="M407" i="1" s="1"/>
  <c r="P273" i="1" a="1"/>
  <c r="P273" i="1" s="1"/>
  <c r="P122" i="1" a="1"/>
  <c r="P122" i="1" s="1"/>
  <c r="M285" i="1" a="1"/>
  <c r="M285" i="1" s="1"/>
  <c r="Q380" i="1" a="1"/>
  <c r="Q380" i="1" s="1"/>
  <c r="Q307" i="1" a="1"/>
  <c r="Q307" i="1" s="1"/>
  <c r="N356" i="1" a="1"/>
  <c r="N356" i="1" s="1"/>
  <c r="Q260" i="1" a="1"/>
  <c r="Q260" i="1" s="1"/>
  <c r="N407" i="1" a="1"/>
  <c r="N407" i="1" s="1"/>
  <c r="Q63" i="1" a="1"/>
  <c r="Q63" i="1" s="1"/>
  <c r="N182" i="1" a="1"/>
  <c r="N182" i="1" s="1"/>
  <c r="P34" i="1" a="1"/>
  <c r="P34" i="1" s="1"/>
  <c r="M174" i="1" a="1"/>
  <c r="M174" i="1" s="1"/>
  <c r="M331" i="1" a="1"/>
  <c r="M331" i="1" s="1"/>
  <c r="Q372" i="1" a="1"/>
  <c r="Q372" i="1" s="1"/>
  <c r="P71" i="1" a="1"/>
  <c r="P71" i="1" s="1"/>
  <c r="O109" i="1" a="1"/>
  <c r="O109" i="1" s="1"/>
  <c r="O96" i="1" a="1"/>
  <c r="O96" i="1" s="1"/>
  <c r="N306" i="1" a="1"/>
  <c r="N306" i="1" s="1"/>
  <c r="Q356" i="1" a="1"/>
  <c r="Q356" i="1" s="1"/>
  <c r="P396" i="1" a="1"/>
  <c r="P396" i="1" s="1"/>
  <c r="N323" i="1" a="1"/>
  <c r="N323" i="1" s="1"/>
  <c r="M176" i="1" a="1"/>
  <c r="M176" i="1" s="1"/>
  <c r="N45" i="1" a="1"/>
  <c r="N45" i="1" s="1"/>
  <c r="O287" i="1" a="1"/>
  <c r="O287" i="1" s="1"/>
  <c r="M74" i="1" a="1"/>
  <c r="M74" i="1" s="1"/>
  <c r="O74" i="1" a="1"/>
  <c r="O74" i="1" s="1"/>
  <c r="P248" i="1" a="1"/>
  <c r="P248" i="1" s="1"/>
  <c r="Q212" i="1" a="1"/>
  <c r="Q212" i="1" s="1"/>
  <c r="N332" i="1" a="1"/>
  <c r="N332" i="1" s="1"/>
  <c r="N222" i="1" a="1"/>
  <c r="N222" i="1" s="1"/>
  <c r="O160" i="1" a="1"/>
  <c r="O160" i="1" s="1"/>
  <c r="M117" i="1" a="1"/>
  <c r="M117" i="1" s="1"/>
  <c r="Q339" i="1" a="1"/>
  <c r="Q339" i="1" s="1"/>
  <c r="P19" i="1" a="1"/>
  <c r="P19" i="1" s="1"/>
  <c r="Q326" i="1" a="1"/>
  <c r="Q326" i="1" s="1"/>
  <c r="P106" i="1" a="1"/>
  <c r="P106" i="1" s="1"/>
  <c r="Q347" i="1" a="1"/>
  <c r="Q347" i="1" s="1"/>
  <c r="O171" i="1" a="1"/>
  <c r="O171" i="1" s="1"/>
  <c r="N233" i="1" a="1"/>
  <c r="N233" i="1" s="1"/>
  <c r="P351" i="1" a="1"/>
  <c r="P351" i="1" s="1"/>
  <c r="M293" i="1" a="1"/>
  <c r="M293" i="1" s="1"/>
  <c r="O309" i="1" a="1"/>
  <c r="O309" i="1" s="1"/>
  <c r="P169" i="1" a="1"/>
  <c r="P169" i="1" s="1"/>
  <c r="P316" i="1" a="1"/>
  <c r="P316" i="1" s="1"/>
  <c r="N185" i="1" a="1"/>
  <c r="N185" i="1" s="1"/>
  <c r="P32" i="1" a="1"/>
  <c r="P32" i="1" s="1"/>
  <c r="O267" i="1" a="1"/>
  <c r="O267" i="1" s="1"/>
  <c r="O360" i="1" a="1"/>
  <c r="O360" i="1" s="1"/>
  <c r="O233" i="1" a="1"/>
  <c r="O233" i="1" s="1"/>
  <c r="P368" i="1" a="1"/>
  <c r="P368" i="1" s="1"/>
  <c r="O250" i="1" a="1"/>
  <c r="O250" i="1" s="1"/>
  <c r="M266" i="1" a="1"/>
  <c r="M266" i="1" s="1"/>
  <c r="M402" i="1" a="1"/>
  <c r="M402" i="1" s="1"/>
  <c r="Q297" i="1" a="1"/>
  <c r="Q297" i="1" s="1"/>
  <c r="O292" i="1" a="1"/>
  <c r="O292" i="1" s="1"/>
  <c r="O65" i="1" a="1"/>
  <c r="O65" i="1" s="1"/>
  <c r="O389" i="1" a="1"/>
  <c r="O389" i="1" s="1"/>
  <c r="N178" i="1" a="1"/>
  <c r="N178" i="1" s="1"/>
  <c r="N328" i="1" a="1"/>
  <c r="N328" i="1" s="1"/>
  <c r="P188" i="1" a="1"/>
  <c r="P188" i="1" s="1"/>
  <c r="M404" i="1" a="1"/>
  <c r="M404" i="1" s="1"/>
  <c r="P39" i="1" a="1"/>
  <c r="P39" i="1" s="1"/>
  <c r="M2" i="1" a="1"/>
  <c r="M2" i="1" s="1"/>
  <c r="O301" i="1" a="1"/>
  <c r="O301" i="1" s="1"/>
  <c r="Q311" i="1" a="1"/>
  <c r="Q311" i="1" s="1"/>
  <c r="Q145" i="1" a="1"/>
  <c r="Q145" i="1" s="1"/>
  <c r="M152" i="1" a="1"/>
  <c r="M152" i="1" s="1"/>
  <c r="Q411" i="1" a="1"/>
  <c r="Q411" i="1" s="1"/>
  <c r="R411" i="1" s="1"/>
  <c r="O307" i="1" a="1"/>
  <c r="O307" i="1" s="1"/>
  <c r="N396" i="1" a="1"/>
  <c r="N396" i="1" s="1"/>
  <c r="Q395" i="1" a="1"/>
  <c r="Q395" i="1" s="1"/>
  <c r="N135" i="1" a="1"/>
  <c r="N135" i="1" s="1"/>
  <c r="N283" i="1" a="1"/>
  <c r="N283" i="1" s="1"/>
  <c r="M298" i="1" a="1"/>
  <c r="M298" i="1" s="1"/>
  <c r="M157" i="1" a="1"/>
  <c r="M157" i="1" s="1"/>
  <c r="M390" i="1" a="1"/>
  <c r="M390" i="1" s="1"/>
  <c r="N289" i="1" a="1"/>
  <c r="N289" i="1" s="1"/>
  <c r="M307" i="1" a="1"/>
  <c r="M307" i="1" s="1"/>
  <c r="M167" i="1" a="1"/>
  <c r="M167" i="1" s="1"/>
  <c r="N333" i="1" a="1"/>
  <c r="N333" i="1" s="1"/>
  <c r="N211" i="1" a="1"/>
  <c r="N211" i="1" s="1"/>
  <c r="Q291" i="1" a="1"/>
  <c r="Q291" i="1" s="1"/>
  <c r="P241" i="1" a="1"/>
  <c r="P241" i="1" s="1"/>
  <c r="M269" i="1" a="1"/>
  <c r="M269" i="1" s="1"/>
  <c r="N353" i="1" a="1"/>
  <c r="N353" i="1" s="1"/>
  <c r="Q261" i="1" a="1"/>
  <c r="Q261" i="1" s="1"/>
  <c r="M370" i="1" a="1"/>
  <c r="M370" i="1" s="1"/>
  <c r="M342" i="1" a="1"/>
  <c r="M342" i="1" s="1"/>
  <c r="Q220" i="1" a="1"/>
  <c r="Q220" i="1" s="1"/>
  <c r="M14" i="1" a="1"/>
  <c r="M14" i="1" s="1"/>
  <c r="N322" i="1" a="1"/>
  <c r="N322" i="1" s="1"/>
  <c r="O141" i="1" a="1"/>
  <c r="O141" i="1" s="1"/>
  <c r="O330" i="1" a="1"/>
  <c r="O330" i="1" s="1"/>
  <c r="P324" i="1" a="1"/>
  <c r="P324" i="1" s="1"/>
  <c r="M256" i="1" a="1"/>
  <c r="M256" i="1" s="1"/>
  <c r="P343" i="1" a="1"/>
  <c r="P343" i="1" s="1"/>
  <c r="O316" i="1" a="1"/>
  <c r="O316" i="1" s="1"/>
  <c r="Q208" i="1" a="1"/>
  <c r="Q208" i="1" s="1"/>
  <c r="M163" i="1" a="1"/>
  <c r="M163" i="1" s="1"/>
  <c r="N72" i="1" a="1"/>
  <c r="N72" i="1" s="1"/>
  <c r="Q319" i="1" a="1"/>
  <c r="Q319" i="1" s="1"/>
  <c r="N275" i="1" a="1"/>
  <c r="N275" i="1" s="1"/>
  <c r="N37" i="1" a="1"/>
  <c r="N37" i="1" s="1"/>
  <c r="O415" i="1" a="1"/>
  <c r="O415" i="1" s="1"/>
  <c r="M381" i="1" a="1"/>
  <c r="M381" i="1" s="1"/>
  <c r="O7" i="1" a="1"/>
  <c r="O7" i="1" s="1"/>
  <c r="O364" i="1" a="1"/>
  <c r="O364" i="1" s="1"/>
  <c r="P370" i="1" a="1"/>
  <c r="P370" i="1" s="1"/>
  <c r="N272" i="1" a="1"/>
  <c r="N272" i="1" s="1"/>
  <c r="O214" i="1" a="1"/>
  <c r="O214" i="1" s="1"/>
  <c r="M345" i="1" a="1"/>
  <c r="M345" i="1" s="1"/>
  <c r="P277" i="1" a="1"/>
  <c r="P277" i="1" s="1"/>
  <c r="M64" i="1" a="1"/>
  <c r="M64" i="1" s="1"/>
  <c r="M302" i="1" a="1"/>
  <c r="M302" i="1" s="1"/>
  <c r="Q300" i="1" a="1"/>
  <c r="Q300" i="1" s="1"/>
  <c r="N236" i="1" a="1"/>
  <c r="N236" i="1" s="1"/>
  <c r="M75" i="1" a="1"/>
  <c r="M75" i="1" s="1"/>
  <c r="P22" i="1" a="1"/>
  <c r="P22" i="1" s="1"/>
  <c r="P314" i="1" a="1"/>
  <c r="P314" i="1" s="1"/>
  <c r="M301" i="1" a="1"/>
  <c r="M301" i="1" s="1"/>
  <c r="O210" i="1" a="1"/>
  <c r="O210" i="1" s="1"/>
  <c r="M106" i="1" a="1"/>
  <c r="M106" i="1" s="1"/>
  <c r="N400" i="1" a="1"/>
  <c r="N400" i="1" s="1"/>
  <c r="P224" i="1" a="1"/>
  <c r="P224" i="1" s="1"/>
  <c r="Q381" i="1" a="1"/>
  <c r="Q381" i="1" s="1"/>
  <c r="R381" i="1" s="1"/>
  <c r="N374" i="1" a="1"/>
  <c r="N374" i="1" s="1"/>
  <c r="O93" i="1" a="1"/>
  <c r="O93" i="1" s="1"/>
  <c r="N285" i="1" a="1"/>
  <c r="N285" i="1" s="1"/>
  <c r="Q147" i="1" a="1"/>
  <c r="Q147" i="1" s="1"/>
  <c r="N364" i="1" a="1"/>
  <c r="N364" i="1" s="1"/>
  <c r="P9" i="1" a="1"/>
  <c r="P9" i="1" s="1"/>
  <c r="O121" i="1" a="1"/>
  <c r="O121" i="1" s="1"/>
  <c r="N108" i="1" a="1"/>
  <c r="N108" i="1" s="1"/>
  <c r="Q239" i="1" a="1"/>
  <c r="Q239" i="1" s="1"/>
  <c r="N382" i="1" a="1"/>
  <c r="N382" i="1" s="1"/>
  <c r="O324" i="1" a="1"/>
  <c r="O324" i="1" s="1"/>
  <c r="P333" i="1" a="1"/>
  <c r="P333" i="1" s="1"/>
  <c r="O373" i="1" a="1"/>
  <c r="O373" i="1" s="1"/>
  <c r="Q315" i="1" a="1"/>
  <c r="Q315" i="1" s="1"/>
  <c r="M365" i="1" a="1"/>
  <c r="M365" i="1" s="1"/>
  <c r="P85" i="1" a="1"/>
  <c r="P85" i="1" s="1"/>
  <c r="Q126" i="1" a="1"/>
  <c r="Q126" i="1" s="1"/>
  <c r="P403" i="1" a="1"/>
  <c r="P403" i="1" s="1"/>
  <c r="N417" i="1" a="1"/>
  <c r="N417" i="1" s="1"/>
  <c r="P392" i="1" a="1"/>
  <c r="P392" i="1" s="1"/>
  <c r="O209" i="1" a="1"/>
  <c r="O209" i="1" s="1"/>
  <c r="O349" i="1" a="1"/>
  <c r="O349" i="1" s="1"/>
  <c r="P349" i="1" a="1"/>
  <c r="P349" i="1" s="1"/>
  <c r="O400" i="1" a="1"/>
  <c r="O400" i="1" s="1"/>
  <c r="P77" i="1" a="1"/>
  <c r="P77" i="1" s="1"/>
  <c r="O296" i="1" a="1"/>
  <c r="O296" i="1" s="1"/>
  <c r="O325" i="1" a="1"/>
  <c r="O325" i="1" s="1"/>
  <c r="Q388" i="1" a="1"/>
  <c r="Q388" i="1" s="1"/>
  <c r="O410" i="1" a="1"/>
  <c r="O410" i="1" s="1"/>
  <c r="Q397" i="1" a="1"/>
  <c r="Q397" i="1" s="1"/>
  <c r="O293" i="1" a="1"/>
  <c r="O293" i="1" s="1"/>
  <c r="P261" i="1" a="1"/>
  <c r="P261" i="1" s="1"/>
  <c r="P299" i="1" a="1"/>
  <c r="P299" i="1" s="1"/>
  <c r="P124" i="1" a="1"/>
  <c r="P124" i="1" s="1"/>
  <c r="Q219" i="1" a="1"/>
  <c r="Q219" i="1" s="1"/>
  <c r="O315" i="1" a="1"/>
  <c r="O315" i="1" s="1"/>
  <c r="P88" i="1" a="1"/>
  <c r="P88" i="1" s="1"/>
  <c r="Q369" i="1" a="1"/>
  <c r="Q369" i="1" s="1"/>
  <c r="M339" i="1" a="1"/>
  <c r="M339" i="1" s="1"/>
  <c r="O17" i="1" a="1"/>
  <c r="O17" i="1" s="1"/>
  <c r="N271" i="1" a="1"/>
  <c r="N271" i="1" s="1"/>
  <c r="O222" i="1" a="1"/>
  <c r="O222" i="1" s="1"/>
  <c r="M373" i="1" a="1"/>
  <c r="M373" i="1" s="1"/>
  <c r="N329" i="1" a="1"/>
  <c r="N329" i="1" s="1"/>
  <c r="O385" i="1" a="1"/>
  <c r="O385" i="1" s="1"/>
  <c r="O380" i="1" a="1"/>
  <c r="O380" i="1" s="1"/>
  <c r="O268" i="1" a="1"/>
  <c r="O268" i="1" s="1"/>
  <c r="M322" i="1" a="1"/>
  <c r="M322" i="1" s="1"/>
  <c r="P208" i="1" a="1"/>
  <c r="P208" i="1" s="1"/>
  <c r="Q417" i="1" a="1"/>
  <c r="Q417" i="1" s="1"/>
  <c r="N234" i="1" a="1"/>
  <c r="N234" i="1" s="1"/>
  <c r="P418" i="1" a="1"/>
  <c r="P418" i="1" s="1"/>
  <c r="M133" i="1" a="1"/>
  <c r="M133" i="1" s="1"/>
  <c r="Q299" i="1" a="1"/>
  <c r="Q299" i="1" s="1"/>
  <c r="N362" i="1" a="1"/>
  <c r="N362" i="1" s="1"/>
  <c r="N63" i="1" a="1"/>
  <c r="N63" i="1" s="1"/>
  <c r="O328" i="1" a="1"/>
  <c r="O328" i="1" s="1"/>
  <c r="P329" i="1" a="1"/>
  <c r="P329" i="1" s="1"/>
  <c r="O123" i="1" a="1"/>
  <c r="O123" i="1" s="1"/>
  <c r="M160" i="1" a="1"/>
  <c r="M160" i="1" s="1"/>
  <c r="M27" i="1" a="1"/>
  <c r="M27" i="1" s="1"/>
  <c r="Q309" i="1" a="1"/>
  <c r="Q309" i="1" s="1"/>
  <c r="R309" i="1" s="1"/>
  <c r="Q257" i="1" a="1"/>
  <c r="Q257" i="1" s="1"/>
  <c r="R257" i="1" s="1"/>
  <c r="N344" i="1" a="1"/>
  <c r="N344" i="1" s="1"/>
  <c r="P280" i="1" a="1"/>
  <c r="P280" i="1" s="1"/>
  <c r="N255" i="1" a="1"/>
  <c r="N255" i="1" s="1"/>
  <c r="N154" i="1" a="1"/>
  <c r="N154" i="1" s="1"/>
  <c r="P195" i="1" a="1"/>
  <c r="P195" i="1" s="1"/>
  <c r="Q173" i="1" a="1"/>
  <c r="Q173" i="1" s="1"/>
  <c r="R173" i="1" s="1"/>
  <c r="Q366" i="1" a="1"/>
  <c r="Q366" i="1" s="1"/>
  <c r="R366" i="1" s="1"/>
  <c r="P246" i="1" a="1"/>
  <c r="P246" i="1" s="1"/>
  <c r="Q317" i="1" a="1"/>
  <c r="Q317" i="1" s="1"/>
  <c r="P352" i="1" a="1"/>
  <c r="P352" i="1" s="1"/>
  <c r="Q348" i="1" a="1"/>
  <c r="Q348" i="1" s="1"/>
  <c r="R348" i="1" s="1"/>
  <c r="P126" i="1" a="1"/>
  <c r="P126" i="1" s="1"/>
  <c r="O225" i="1" a="1"/>
  <c r="O225" i="1" s="1"/>
  <c r="P160" i="1" a="1"/>
  <c r="P160" i="1" s="1"/>
  <c r="M291" i="1" a="1"/>
  <c r="M291" i="1" s="1"/>
  <c r="Q390" i="1" a="1"/>
  <c r="Q390" i="1" s="1"/>
  <c r="M207" i="1" a="1"/>
  <c r="M207" i="1" s="1"/>
  <c r="M398" i="1" a="1"/>
  <c r="M398" i="1" s="1"/>
  <c r="Q353" i="1" a="1"/>
  <c r="Q353" i="1" s="1"/>
  <c r="M313" i="1" a="1"/>
  <c r="M313" i="1" s="1"/>
  <c r="Q409" i="1" a="1"/>
  <c r="Q409" i="1" s="1"/>
  <c r="N200" i="1" a="1"/>
  <c r="N200" i="1" s="1"/>
  <c r="M252" i="1" a="1"/>
  <c r="M252" i="1" s="1"/>
  <c r="P26" i="1" a="1"/>
  <c r="P26" i="1" s="1"/>
  <c r="O348" i="1" a="1"/>
  <c r="O348" i="1" s="1"/>
  <c r="N373" i="1" a="1"/>
  <c r="N373" i="1" s="1"/>
  <c r="P153" i="1" a="1"/>
  <c r="P153" i="1" s="1"/>
  <c r="M413" i="1" a="1"/>
  <c r="M413" i="1" s="1"/>
  <c r="P353" i="1" a="1"/>
  <c r="P353" i="1" s="1"/>
  <c r="M354" i="1" a="1"/>
  <c r="M354" i="1" s="1"/>
  <c r="N120" i="1" a="1"/>
  <c r="N120" i="1" s="1"/>
  <c r="O90" i="1" a="1"/>
  <c r="O90" i="1" s="1"/>
  <c r="N49" i="1" a="1"/>
  <c r="N49" i="1" s="1"/>
  <c r="O334" i="1" a="1"/>
  <c r="O334" i="1" s="1"/>
  <c r="M283" i="1" a="1"/>
  <c r="M283" i="1" s="1"/>
  <c r="P288" i="1" a="1"/>
  <c r="P288" i="1" s="1"/>
  <c r="Q393" i="1" a="1"/>
  <c r="Q393" i="1" s="1"/>
  <c r="M213" i="1" a="1"/>
  <c r="M213" i="1" s="1"/>
  <c r="Q7" i="1" a="1"/>
  <c r="Q7" i="1" s="1"/>
  <c r="R7" i="1" s="1"/>
  <c r="N313" i="1" a="1"/>
  <c r="N313" i="1" s="1"/>
  <c r="O381" i="1" a="1"/>
  <c r="O381" i="1" s="1"/>
  <c r="Q226" i="1" a="1"/>
  <c r="Q226" i="1" s="1"/>
  <c r="O308" i="1" a="1"/>
  <c r="O308" i="1" s="1"/>
  <c r="M406" i="1" a="1"/>
  <c r="M406" i="1" s="1"/>
  <c r="P406" i="1" a="1"/>
  <c r="P406" i="1" s="1"/>
  <c r="N351" i="1" a="1"/>
  <c r="N351" i="1" s="1"/>
  <c r="O179" i="1" a="1"/>
  <c r="O179" i="1" s="1"/>
  <c r="M272" i="1" a="1"/>
  <c r="M272" i="1" s="1"/>
  <c r="M24" i="1" a="1"/>
  <c r="M24" i="1" s="1"/>
  <c r="N158" i="1" a="1"/>
  <c r="N158" i="1" s="1"/>
  <c r="N386" i="1" a="1"/>
  <c r="N386" i="1" s="1"/>
  <c r="O130" i="1" a="1"/>
  <c r="O130" i="1" s="1"/>
  <c r="M284" i="1" a="1"/>
  <c r="M284" i="1" s="1"/>
  <c r="M257" i="1" a="1"/>
  <c r="M257" i="1" s="1"/>
  <c r="Q318" i="1" a="1"/>
  <c r="Q318" i="1" s="1"/>
  <c r="P259" i="1" a="1"/>
  <c r="P259" i="1" s="1"/>
  <c r="Q171" i="1" a="1"/>
  <c r="Q171" i="1" s="1"/>
  <c r="O244" i="1" a="1"/>
  <c r="O244" i="1" s="1"/>
  <c r="P2" i="1" a="1"/>
  <c r="P2" i="1" s="1"/>
  <c r="P123" i="1" a="1"/>
  <c r="P123" i="1" s="1"/>
  <c r="P330" i="1" a="1"/>
  <c r="P330" i="1" s="1"/>
  <c r="M17" i="1" a="1"/>
  <c r="M17" i="1" s="1"/>
  <c r="N246" i="1" a="1"/>
  <c r="N246" i="1" s="1"/>
  <c r="N77" i="1" a="1"/>
  <c r="N77" i="1" s="1"/>
  <c r="N202" i="1" a="1"/>
  <c r="N202" i="1" s="1"/>
  <c r="M220" i="1" a="1"/>
  <c r="M220" i="1" s="1"/>
  <c r="P20" i="1" a="1"/>
  <c r="P20" i="1" s="1"/>
  <c r="Q197" i="1" a="1"/>
  <c r="Q197" i="1" s="1"/>
  <c r="M131" i="1" a="1"/>
  <c r="M131" i="1" s="1"/>
  <c r="M259" i="1" a="1"/>
  <c r="M259" i="1" s="1"/>
  <c r="N97" i="1" a="1"/>
  <c r="N97" i="1" s="1"/>
  <c r="O205" i="1" a="1"/>
  <c r="O205" i="1" s="1"/>
  <c r="M408" i="1" a="1"/>
  <c r="M408" i="1" s="1"/>
  <c r="P290" i="1" a="1"/>
  <c r="P290" i="1" s="1"/>
  <c r="N244" i="1" a="1"/>
  <c r="N244" i="1" s="1"/>
  <c r="Q281" i="1" a="1"/>
  <c r="Q281" i="1" s="1"/>
  <c r="N326" i="1" a="1"/>
  <c r="N326" i="1" s="1"/>
  <c r="Q418" i="1" a="1"/>
  <c r="Q418" i="1" s="1"/>
  <c r="Q31" i="1" a="1"/>
  <c r="Q31" i="1" s="1"/>
  <c r="R31" i="1" s="1"/>
  <c r="M230" i="1" a="1"/>
  <c r="M230" i="1" s="1"/>
  <c r="O168" i="1" a="1"/>
  <c r="O168" i="1" s="1"/>
  <c r="O113" i="1" a="1"/>
  <c r="O113" i="1" s="1"/>
  <c r="O278" i="1" a="1"/>
  <c r="O278" i="1" s="1"/>
  <c r="P67" i="1" a="1"/>
  <c r="P67" i="1" s="1"/>
  <c r="Q272" i="1" a="1"/>
  <c r="Q272" i="1" s="1"/>
  <c r="P265" i="1" a="1"/>
  <c r="P265" i="1" s="1"/>
  <c r="Q119" i="1" a="1"/>
  <c r="Q119" i="1" s="1"/>
  <c r="N258" i="1" a="1"/>
  <c r="N258" i="1" s="1"/>
  <c r="P320" i="1" a="1"/>
  <c r="P320" i="1" s="1"/>
  <c r="M116" i="1" a="1"/>
  <c r="M116" i="1" s="1"/>
  <c r="O406" i="1" a="1"/>
  <c r="O406" i="1" s="1"/>
  <c r="Q278" i="1" a="1"/>
  <c r="Q278" i="1" s="1"/>
  <c r="M387" i="1" a="1"/>
  <c r="M387" i="1" s="1"/>
  <c r="O115" i="1" a="1"/>
  <c r="O115" i="1" s="1"/>
  <c r="P151" i="1" a="1"/>
  <c r="P151" i="1" s="1"/>
  <c r="Q285" i="1" a="1"/>
  <c r="Q285" i="1" s="1"/>
  <c r="O85" i="1" a="1"/>
  <c r="O85" i="1" s="1"/>
  <c r="N241" i="1" a="1"/>
  <c r="N241" i="1" s="1"/>
  <c r="Q343" i="1" a="1"/>
  <c r="Q343" i="1" s="1"/>
  <c r="P322" i="1" a="1"/>
  <c r="P322" i="1" s="1"/>
  <c r="N101" i="1" a="1"/>
  <c r="N101" i="1" s="1"/>
  <c r="P408" i="1" a="1"/>
  <c r="P408" i="1" s="1"/>
  <c r="Q296" i="1" a="1"/>
  <c r="Q296" i="1" s="1"/>
  <c r="N252" i="1" a="1"/>
  <c r="N252" i="1" s="1"/>
  <c r="P284" i="1" a="1"/>
  <c r="P284" i="1" s="1"/>
  <c r="P292" i="1" a="1"/>
  <c r="P292" i="1" s="1"/>
  <c r="P315" i="1" a="1"/>
  <c r="P315" i="1" s="1"/>
  <c r="P119" i="1" a="1"/>
  <c r="P119" i="1" s="1"/>
  <c r="P83" i="1" a="1"/>
  <c r="P83" i="1" s="1"/>
  <c r="M150" i="1" a="1"/>
  <c r="M150" i="1" s="1"/>
  <c r="Q244" i="1" a="1"/>
  <c r="Q244" i="1" s="1"/>
  <c r="P239" i="1" a="1"/>
  <c r="P239" i="1" s="1"/>
  <c r="M358" i="1" a="1"/>
  <c r="M358" i="1" s="1"/>
  <c r="O297" i="1" a="1"/>
  <c r="O297" i="1" s="1"/>
  <c r="M394" i="1" a="1"/>
  <c r="M394" i="1" s="1"/>
  <c r="M346" i="1" a="1"/>
  <c r="M346" i="1" s="1"/>
  <c r="P132" i="1" a="1"/>
  <c r="P132" i="1" s="1"/>
  <c r="O409" i="1" a="1"/>
  <c r="O409" i="1" s="1"/>
  <c r="P278" i="1" a="1"/>
  <c r="P278" i="1" s="1"/>
  <c r="M318" i="1" a="1"/>
  <c r="M318" i="1" s="1"/>
  <c r="Q413" i="1" a="1"/>
  <c r="Q413" i="1" s="1"/>
  <c r="O285" i="1" a="1"/>
  <c r="O285" i="1" s="1"/>
  <c r="M58" i="1" a="1"/>
  <c r="M58" i="1" s="1"/>
  <c r="O350" i="1" a="1"/>
  <c r="O350" i="1" s="1"/>
  <c r="Q158" i="1" a="1"/>
  <c r="Q158" i="1" s="1"/>
  <c r="O368" i="1" a="1"/>
  <c r="O368" i="1" s="1"/>
  <c r="O314" i="1" a="1"/>
  <c r="O314" i="1" s="1"/>
  <c r="Q322" i="1" a="1"/>
  <c r="Q322" i="1" s="1"/>
  <c r="O283" i="1" a="1"/>
  <c r="O283" i="1" s="1"/>
  <c r="Q303" i="1" a="1"/>
  <c r="Q303" i="1" s="1"/>
  <c r="M340" i="1" a="1"/>
  <c r="M340" i="1" s="1"/>
  <c r="N23" i="1" a="1"/>
  <c r="N23" i="1" s="1"/>
  <c r="O342" i="1" a="1"/>
  <c r="O342" i="1" s="1"/>
  <c r="M410" i="1" a="1"/>
  <c r="M410" i="1" s="1"/>
  <c r="O418" i="1" a="1"/>
  <c r="O418" i="1" s="1"/>
  <c r="P204" i="1" a="1"/>
  <c r="P204" i="1" s="1"/>
  <c r="Q116" i="1" a="1"/>
  <c r="Q116" i="1" s="1"/>
  <c r="R116" i="1" s="1"/>
  <c r="M297" i="1" a="1"/>
  <c r="M297" i="1" s="1"/>
  <c r="M363" i="1" a="1"/>
  <c r="M363" i="1" s="1"/>
  <c r="N405" i="1" a="1"/>
  <c r="N405" i="1" s="1"/>
  <c r="P339" i="1" a="1"/>
  <c r="P339" i="1" s="1"/>
  <c r="M264" i="1" a="1"/>
  <c r="M264" i="1" s="1"/>
  <c r="M362" i="1" a="1"/>
  <c r="M362" i="1" s="1"/>
  <c r="N14" i="1" a="1"/>
  <c r="N14" i="1" s="1"/>
  <c r="M383" i="1" a="1"/>
  <c r="M383" i="1" s="1"/>
  <c r="M347" i="1" a="1"/>
  <c r="M347" i="1" s="1"/>
  <c r="P291" i="1" a="1"/>
  <c r="P291" i="1" s="1"/>
  <c r="Q287" i="1" a="1"/>
  <c r="Q287" i="1" s="1"/>
  <c r="P344" i="1" a="1"/>
  <c r="P344" i="1" s="1"/>
  <c r="O178" i="1" a="1"/>
  <c r="O178" i="1" s="1"/>
  <c r="Q256" i="1" a="1"/>
  <c r="Q256" i="1" s="1"/>
  <c r="R256" i="1" s="1"/>
  <c r="O98" i="1" a="1"/>
  <c r="O98" i="1" s="1"/>
  <c r="P302" i="1" a="1"/>
  <c r="P302" i="1" s="1"/>
  <c r="M327" i="1" a="1"/>
  <c r="M327" i="1" s="1"/>
  <c r="Q350" i="1" a="1"/>
  <c r="Q350" i="1" s="1"/>
  <c r="N139" i="1" a="1"/>
  <c r="N139" i="1" s="1"/>
  <c r="Q168" i="1" a="1"/>
  <c r="Q168" i="1" s="1"/>
  <c r="N363" i="1" a="1"/>
  <c r="N363" i="1" s="1"/>
  <c r="Q410" i="1" a="1"/>
  <c r="Q410" i="1" s="1"/>
  <c r="O323" i="1" a="1"/>
  <c r="O323" i="1" s="1"/>
  <c r="N287" i="1" a="1"/>
  <c r="N287" i="1" s="1"/>
  <c r="Q306" i="1" a="1"/>
  <c r="Q306" i="1" s="1"/>
  <c r="R306" i="1" s="1"/>
  <c r="N414" i="1" a="1"/>
  <c r="N414" i="1" s="1"/>
  <c r="M376" i="1" a="1"/>
  <c r="M376" i="1" s="1"/>
  <c r="P341" i="1" a="1"/>
  <c r="P341" i="1" s="1"/>
  <c r="M286" i="1" a="1"/>
  <c r="M286" i="1" s="1"/>
  <c r="N402" i="1" a="1"/>
  <c r="N402" i="1" s="1"/>
  <c r="Q346" i="1" a="1"/>
  <c r="Q346" i="1" s="1"/>
  <c r="R346" i="1" s="1"/>
  <c r="N349" i="1" a="1"/>
  <c r="N349" i="1" s="1"/>
  <c r="P283" i="1" a="1"/>
  <c r="P283" i="1" s="1"/>
  <c r="P336" i="1" a="1"/>
  <c r="P336" i="1" s="1"/>
  <c r="O174" i="1" a="1"/>
  <c r="O174" i="1" s="1"/>
  <c r="N137" i="1" a="1"/>
  <c r="N137" i="1" s="1"/>
  <c r="Q349" i="1" a="1"/>
  <c r="Q349" i="1" s="1"/>
  <c r="O111" i="1" a="1"/>
  <c r="O111" i="1" s="1"/>
  <c r="P409" i="1" a="1"/>
  <c r="P409" i="1" s="1"/>
  <c r="N398" i="1" a="1"/>
  <c r="N398" i="1" s="1"/>
  <c r="M321" i="1" a="1"/>
  <c r="M321" i="1" s="1"/>
  <c r="M102" i="1" a="1"/>
  <c r="M102" i="1" s="1"/>
  <c r="M101" i="1" a="1"/>
  <c r="M101" i="1" s="1"/>
  <c r="M389" i="1" a="1"/>
  <c r="M389" i="1" s="1"/>
  <c r="Q379" i="1" a="1"/>
  <c r="Q379" i="1" s="1"/>
  <c r="P276" i="1" a="1"/>
  <c r="P276" i="1" s="1"/>
  <c r="P347" i="1" a="1"/>
  <c r="P347" i="1" s="1"/>
  <c r="O365" i="1" a="1"/>
  <c r="O365" i="1" s="1"/>
  <c r="N335" i="1" a="1"/>
  <c r="N335" i="1" s="1"/>
  <c r="M296" i="1" a="1"/>
  <c r="M296" i="1" s="1"/>
  <c r="Q52" i="1" a="1"/>
  <c r="Q52" i="1" s="1"/>
  <c r="P354" i="1" a="1"/>
  <c r="P354" i="1" s="1"/>
  <c r="N156" i="1" a="1"/>
  <c r="N156" i="1" s="1"/>
  <c r="N293" i="1" a="1"/>
  <c r="N293" i="1" s="1"/>
  <c r="P198" i="1" a="1"/>
  <c r="P198" i="1" s="1"/>
  <c r="O414" i="1" a="1"/>
  <c r="O414" i="1" s="1"/>
  <c r="O162" i="1" a="1"/>
  <c r="O162" i="1" s="1"/>
  <c r="M357" i="1" a="1"/>
  <c r="M357" i="1" s="1"/>
  <c r="M309" i="1" a="1"/>
  <c r="M309" i="1" s="1"/>
  <c r="M374" i="1" a="1"/>
  <c r="M374" i="1" s="1"/>
  <c r="Q316" i="1" a="1"/>
  <c r="Q316" i="1" s="1"/>
  <c r="P298" i="1" a="1"/>
  <c r="P298" i="1" s="1"/>
  <c r="P379" i="1" a="1"/>
  <c r="P379" i="1" s="1"/>
  <c r="M308" i="1" a="1"/>
  <c r="M308" i="1" s="1"/>
  <c r="Q376" i="1" a="1"/>
  <c r="Q376" i="1" s="1"/>
  <c r="Q382" i="1" a="1"/>
  <c r="Q382" i="1" s="1"/>
  <c r="P388" i="1" a="1"/>
  <c r="P388" i="1" s="1"/>
  <c r="Q324" i="1" a="1"/>
  <c r="Q324" i="1" s="1"/>
  <c r="O329" i="1" a="1"/>
  <c r="O329" i="1" s="1"/>
  <c r="N2" i="1" a="1"/>
  <c r="N2" i="1" s="1"/>
  <c r="N171" i="1" a="1"/>
  <c r="N171" i="1" s="1"/>
  <c r="P268" i="1" a="1"/>
  <c r="P268" i="1" s="1"/>
  <c r="P332" i="1" a="1"/>
  <c r="P332" i="1" s="1"/>
  <c r="N278" i="1" a="1"/>
  <c r="N278" i="1" s="1"/>
  <c r="O154" i="1" a="1"/>
  <c r="O154" i="1" s="1"/>
  <c r="P375" i="1" a="1"/>
  <c r="P375" i="1" s="1"/>
  <c r="Q2" i="1" a="1"/>
  <c r="Q2" i="1" s="1"/>
  <c r="O2" i="1" a="1"/>
  <c r="O2" i="1" s="1"/>
  <c r="Q262" i="1" a="1"/>
  <c r="Q262" i="1" s="1"/>
  <c r="R262" i="1" s="1"/>
  <c r="M411" i="1" a="1"/>
  <c r="M411" i="1" s="1"/>
  <c r="Q400" i="1" a="1"/>
  <c r="Q400" i="1" s="1"/>
  <c r="Q179" i="1" a="1"/>
  <c r="Q179" i="1" s="1"/>
  <c r="R179" i="1" s="1"/>
  <c r="Q57" i="1" a="1"/>
  <c r="Q57" i="1" s="1"/>
  <c r="N238" i="1" a="1"/>
  <c r="N238" i="1" s="1"/>
  <c r="M355" i="1" a="1"/>
  <c r="M355" i="1" s="1"/>
  <c r="O326" i="1" a="1"/>
  <c r="O326" i="1" s="1"/>
  <c r="O417" i="1" a="1"/>
  <c r="O417" i="1" s="1"/>
  <c r="P372" i="1" a="1"/>
  <c r="P372" i="1" s="1"/>
  <c r="M124" i="1" a="1"/>
  <c r="M124" i="1" s="1"/>
  <c r="O411" i="1" a="1"/>
  <c r="O411" i="1" s="1"/>
  <c r="N138" i="1" a="1"/>
  <c r="N138" i="1" s="1"/>
  <c r="O404" i="1" a="1"/>
  <c r="O404" i="1" s="1"/>
  <c r="M400" i="1" a="1"/>
  <c r="M400" i="1" s="1"/>
  <c r="Q337" i="1" a="1"/>
  <c r="Q337" i="1" s="1"/>
  <c r="R337" i="1" s="1"/>
  <c r="M334" i="1" a="1"/>
  <c r="M334" i="1" s="1"/>
  <c r="P274" i="1" a="1"/>
  <c r="P274" i="1" s="1"/>
  <c r="O33" i="1" a="1"/>
  <c r="O33" i="1" s="1"/>
  <c r="O68" i="1" a="1"/>
  <c r="O68" i="1" s="1"/>
  <c r="N267" i="1" a="1"/>
  <c r="N267" i="1" s="1"/>
  <c r="M300" i="1" a="1"/>
  <c r="M300" i="1" s="1"/>
  <c r="N307" i="1" a="1"/>
  <c r="N307" i="1" s="1"/>
  <c r="P226" i="1" a="1"/>
  <c r="P226" i="1" s="1"/>
  <c r="P213" i="1" a="1"/>
  <c r="P213" i="1" s="1"/>
  <c r="M141" i="1" a="1"/>
  <c r="M141" i="1" s="1"/>
  <c r="N401" i="1" a="1"/>
  <c r="N401" i="1" s="1"/>
  <c r="P338" i="1" a="1"/>
  <c r="P338" i="1" s="1"/>
  <c r="M278" i="1" a="1"/>
  <c r="M278" i="1" s="1"/>
  <c r="O156" i="1" a="1"/>
  <c r="O156" i="1" s="1"/>
  <c r="M258" i="1" a="1"/>
  <c r="M258" i="1" s="1"/>
  <c r="M191" i="1" a="1"/>
  <c r="M191" i="1" s="1"/>
  <c r="M377" i="1" a="1"/>
  <c r="M377" i="1" s="1"/>
  <c r="M148" i="1" a="1"/>
  <c r="M148" i="1" s="1"/>
  <c r="Q402" i="1" a="1"/>
  <c r="Q402" i="1" s="1"/>
  <c r="O289" i="1" a="1"/>
  <c r="O289" i="1" s="1"/>
  <c r="M419" i="1" a="1"/>
  <c r="M419" i="1" s="1"/>
  <c r="O305" i="1" a="1"/>
  <c r="O305" i="1" s="1"/>
  <c r="O193" i="1" a="1"/>
  <c r="O193" i="1" s="1"/>
  <c r="Q327" i="1" a="1"/>
  <c r="Q327" i="1" s="1"/>
  <c r="R327" i="1" s="1"/>
  <c r="O52" i="1" a="1"/>
  <c r="O52" i="1" s="1"/>
  <c r="O376" i="1" a="1"/>
  <c r="O376" i="1" s="1"/>
  <c r="N358" i="1" a="1"/>
  <c r="N358" i="1" s="1"/>
  <c r="M336" i="1" a="1"/>
  <c r="M336" i="1" s="1"/>
  <c r="Q42" i="1" a="1"/>
  <c r="Q42" i="1" s="1"/>
  <c r="R42" i="1" s="1"/>
  <c r="N359" i="1" a="1"/>
  <c r="N359" i="1" s="1"/>
  <c r="N388" i="1" a="1"/>
  <c r="N388" i="1" s="1"/>
  <c r="Q391" i="1" a="1"/>
  <c r="Q391" i="1" s="1"/>
  <c r="R391" i="1" s="1"/>
  <c r="M196" i="1" a="1"/>
  <c r="M196" i="1" s="1"/>
  <c r="O173" i="1" a="1"/>
  <c r="O173" i="1" s="1"/>
  <c r="M282" i="1" a="1"/>
  <c r="M282" i="1" s="1"/>
  <c r="N218" i="1" a="1"/>
  <c r="N218" i="1" s="1"/>
  <c r="O237" i="1" a="1"/>
  <c r="O237" i="1" s="1"/>
  <c r="O372" i="1" a="1"/>
  <c r="O372" i="1" s="1"/>
  <c r="Q419" i="1" a="1"/>
  <c r="Q419" i="1" s="1"/>
  <c r="P158" i="1" a="1"/>
  <c r="P158" i="1" s="1"/>
  <c r="N393" i="1" a="1"/>
  <c r="N393" i="1" s="1"/>
  <c r="O270" i="1" a="1"/>
  <c r="O270" i="1" s="1"/>
  <c r="P319" i="1" a="1"/>
  <c r="P319" i="1" s="1"/>
  <c r="O260" i="1" a="1"/>
  <c r="O260" i="1" s="1"/>
  <c r="M305" i="1" a="1"/>
  <c r="M305" i="1" s="1"/>
  <c r="Q189" i="1" a="1"/>
  <c r="Q189" i="1" s="1"/>
  <c r="Q293" i="1" a="1"/>
  <c r="Q293" i="1" s="1"/>
  <c r="P393" i="1" a="1"/>
  <c r="P393" i="1" s="1"/>
  <c r="M233" i="1" a="1"/>
  <c r="M233" i="1" s="1"/>
  <c r="M401" i="1" a="1"/>
  <c r="M401" i="1" s="1"/>
  <c r="O282" i="1" a="1"/>
  <c r="O282" i="1" s="1"/>
  <c r="P376" i="1" a="1"/>
  <c r="P376" i="1" s="1"/>
  <c r="M229" i="1" a="1"/>
  <c r="M229" i="1" s="1"/>
  <c r="M242" i="1" a="1"/>
  <c r="M242" i="1" s="1"/>
  <c r="Q405" i="1" a="1"/>
  <c r="Q405" i="1" s="1"/>
  <c r="N290" i="1" a="1"/>
  <c r="N290" i="1" s="1"/>
  <c r="M111" i="1" a="1"/>
  <c r="M111" i="1" s="1"/>
  <c r="N337" i="1" a="1"/>
  <c r="N337" i="1" s="1"/>
  <c r="N309" i="1" a="1"/>
  <c r="N309" i="1" s="1"/>
  <c r="M349" i="1" a="1"/>
  <c r="M349" i="1" s="1"/>
  <c r="N315" i="1" a="1"/>
  <c r="N315" i="1" s="1"/>
  <c r="N369" i="1" a="1"/>
  <c r="N369" i="1" s="1"/>
  <c r="O369" i="1" a="1"/>
  <c r="O369" i="1" s="1"/>
  <c r="P371" i="1" a="1"/>
  <c r="P371" i="1" s="1"/>
  <c r="Q371" i="1" a="1"/>
  <c r="Q371" i="1" s="1"/>
  <c r="P378" i="1" a="1"/>
  <c r="P378" i="1" s="1"/>
  <c r="M356" i="1" a="1"/>
  <c r="M356" i="1" s="1"/>
  <c r="N352" i="1" a="1"/>
  <c r="N352" i="1" s="1"/>
  <c r="Q338" i="1" a="1"/>
  <c r="Q338" i="1" s="1"/>
  <c r="O397" i="1" a="1"/>
  <c r="O397" i="1" s="1"/>
  <c r="N150" i="1" a="1"/>
  <c r="N150" i="1" s="1"/>
  <c r="Q113" i="1" a="1"/>
  <c r="Q113" i="1" s="1"/>
  <c r="R113" i="1" s="1"/>
  <c r="Q401" i="1" a="1"/>
  <c r="Q401" i="1" s="1"/>
  <c r="O338" i="1" a="1"/>
  <c r="O338" i="1" s="1"/>
  <c r="N390" i="1" a="1"/>
  <c r="N390" i="1" s="1"/>
  <c r="O128" i="1" a="1"/>
  <c r="O128" i="1" s="1"/>
  <c r="P147" i="1" a="1"/>
  <c r="P147" i="1" s="1"/>
  <c r="O220" i="1" a="1"/>
  <c r="O220" i="1" s="1"/>
  <c r="Q359" i="1" a="1"/>
  <c r="Q359" i="1" s="1"/>
  <c r="O274" i="1" a="1"/>
  <c r="O274" i="1" s="1"/>
  <c r="P70" i="1" a="1"/>
  <c r="P70" i="1" s="1"/>
  <c r="M182" i="1" a="1"/>
  <c r="M182" i="1" s="1"/>
  <c r="N248" i="1" a="1"/>
  <c r="N248" i="1" s="1"/>
  <c r="M303" i="1" a="1"/>
  <c r="M303" i="1" s="1"/>
  <c r="O298" i="1" a="1"/>
  <c r="O298" i="1" s="1"/>
  <c r="N195" i="1" a="1"/>
  <c r="N195" i="1" s="1"/>
  <c r="P203" i="1" a="1"/>
  <c r="P203" i="1" s="1"/>
  <c r="Q115" i="1" a="1"/>
  <c r="Q115" i="1" s="1"/>
  <c r="Q406" i="1" a="1"/>
  <c r="Q406" i="1" s="1"/>
  <c r="Q360" i="1" a="1"/>
  <c r="Q360" i="1" s="1"/>
  <c r="N229" i="1" a="1"/>
  <c r="N229" i="1" s="1"/>
  <c r="M202" i="1" a="1"/>
  <c r="M202" i="1" s="1"/>
  <c r="M251" i="1" a="1"/>
  <c r="M251" i="1" s="1"/>
  <c r="P412" i="1" a="1"/>
  <c r="P412" i="1" s="1"/>
  <c r="O224" i="1" a="1"/>
  <c r="O224" i="1" s="1"/>
  <c r="M104" i="1" a="1"/>
  <c r="M104" i="1" s="1"/>
  <c r="M326" i="1" a="1"/>
  <c r="M326" i="1" s="1"/>
  <c r="Q252" i="1" a="1"/>
  <c r="Q252" i="1" s="1"/>
  <c r="N419" i="1" a="1"/>
  <c r="N419" i="1" s="1"/>
  <c r="M378" i="1" a="1"/>
  <c r="M378" i="1" s="1"/>
  <c r="O358" i="1" a="1"/>
  <c r="O358" i="1" s="1"/>
  <c r="Q305" i="1" a="1"/>
  <c r="Q305" i="1" s="1"/>
  <c r="N380" i="1" a="1"/>
  <c r="N380" i="1" s="1"/>
  <c r="P76" i="1" a="1"/>
  <c r="P76" i="1" s="1"/>
  <c r="N412" i="1" a="1"/>
  <c r="N412" i="1" s="1"/>
  <c r="P365" i="1" a="1"/>
  <c r="P365" i="1" s="1"/>
  <c r="N269" i="1" a="1"/>
  <c r="N269" i="1" s="1"/>
  <c r="M290" i="1" a="1"/>
  <c r="M290" i="1" s="1"/>
  <c r="M276" i="1" a="1"/>
  <c r="M276" i="1" s="1"/>
  <c r="N372" i="1" a="1"/>
  <c r="N372" i="1" s="1"/>
  <c r="Q274" i="1" a="1"/>
  <c r="Q274" i="1" s="1"/>
  <c r="P128" i="1" a="1"/>
  <c r="P128" i="1" s="1"/>
  <c r="M295" i="1" a="1"/>
  <c r="M295" i="1" s="1"/>
  <c r="Q314" i="1" a="1"/>
  <c r="Q314" i="1" s="1"/>
  <c r="P416" i="1" a="1"/>
  <c r="P416" i="1" s="1"/>
  <c r="Q389" i="1" a="1"/>
  <c r="Q389" i="1" s="1"/>
  <c r="O384" i="1" a="1"/>
  <c r="O384" i="1" s="1"/>
  <c r="P323" i="1" a="1"/>
  <c r="P323" i="1" s="1"/>
  <c r="M91" i="1" a="1"/>
  <c r="M91" i="1" s="1"/>
  <c r="M369" i="1" a="1"/>
  <c r="M369" i="1" s="1"/>
  <c r="Q132" i="1" a="1"/>
  <c r="Q132" i="1" s="1"/>
  <c r="M375" i="1" a="1"/>
  <c r="M375" i="1" s="1"/>
  <c r="M351" i="1" a="1"/>
  <c r="M351" i="1" s="1"/>
  <c r="M123" i="1" a="1"/>
  <c r="M123" i="1" s="1"/>
  <c r="N391" i="1" a="1"/>
  <c r="N391" i="1" s="1"/>
  <c r="O388" i="1" a="1"/>
  <c r="O388" i="1" s="1"/>
  <c r="N408" i="1" a="1"/>
  <c r="N408" i="1" s="1"/>
  <c r="Q277" i="1" a="1"/>
  <c r="Q277" i="1" s="1"/>
  <c r="O185" i="1" a="1"/>
  <c r="O185" i="1" s="1"/>
  <c r="Q363" i="1" a="1"/>
  <c r="Q363" i="1" s="1"/>
  <c r="R363" i="1" s="1"/>
  <c r="M396" i="1" a="1"/>
  <c r="M396" i="1" s="1"/>
  <c r="O386" i="1" a="1"/>
  <c r="O386" i="1" s="1"/>
  <c r="Q416" i="1" a="1"/>
  <c r="Q416" i="1" s="1"/>
  <c r="M79" i="1" a="1"/>
  <c r="M79" i="1" s="1"/>
  <c r="P350" i="1" a="1"/>
  <c r="P350" i="1" s="1"/>
  <c r="Q370" i="1" a="1"/>
  <c r="Q370" i="1" s="1"/>
  <c r="M366" i="1" a="1"/>
  <c r="M366" i="1" s="1"/>
  <c r="O359" i="1" a="1"/>
  <c r="O359" i="1" s="1"/>
  <c r="Q190" i="1" a="1"/>
  <c r="Q190" i="1" s="1"/>
  <c r="R190" i="1" s="1"/>
  <c r="N266" i="1" a="1"/>
  <c r="N266" i="1" s="1"/>
  <c r="P397" i="1" a="1"/>
  <c r="P397" i="1" s="1"/>
  <c r="Q111" i="1" a="1"/>
  <c r="Q111" i="1" s="1"/>
  <c r="R111" i="1" s="1"/>
  <c r="Q25" i="1" a="1"/>
  <c r="Q25" i="1" s="1"/>
  <c r="P374" i="1" a="1"/>
  <c r="P374" i="1" s="1"/>
  <c r="N113" i="1" a="1"/>
  <c r="N113" i="1" s="1"/>
  <c r="Q365" i="1" a="1"/>
  <c r="Q365" i="1" s="1"/>
  <c r="R365" i="1" s="1"/>
  <c r="M392" i="1" a="1"/>
  <c r="M392" i="1" s="1"/>
  <c r="P250" i="1" a="1"/>
  <c r="P250" i="1" s="1"/>
  <c r="N394" i="1" a="1"/>
  <c r="N394" i="1" s="1"/>
  <c r="O332" i="1" a="1"/>
  <c r="O332" i="1" s="1"/>
  <c r="Q368" i="1" a="1"/>
  <c r="Q368" i="1" s="1"/>
  <c r="R368" i="1" s="1"/>
  <c r="Q77" i="1" a="1"/>
  <c r="Q77" i="1" s="1"/>
  <c r="Q283" i="1" a="1"/>
  <c r="Q283" i="1" s="1"/>
  <c r="O284" i="1" a="1"/>
  <c r="O284" i="1" s="1"/>
  <c r="O392" i="1" a="1"/>
  <c r="O392" i="1" s="1"/>
  <c r="P48" i="1" a="1"/>
  <c r="P48" i="1" s="1"/>
  <c r="N365" i="1" a="1"/>
  <c r="N365" i="1" s="1"/>
  <c r="P304" i="1" a="1"/>
  <c r="P304" i="1" s="1"/>
  <c r="O383" i="1" a="1"/>
  <c r="O383" i="1" s="1"/>
  <c r="M271" i="1" a="1"/>
  <c r="M271" i="1" s="1"/>
  <c r="Q378" i="1" a="1"/>
  <c r="Q378" i="1" s="1"/>
  <c r="M332" i="1" a="1"/>
  <c r="M332" i="1" s="1"/>
  <c r="P385" i="1" a="1"/>
  <c r="P385" i="1" s="1"/>
  <c r="M416" i="1" a="1"/>
  <c r="M416" i="1" s="1"/>
  <c r="O81" i="1" a="1"/>
  <c r="O81" i="1" s="1"/>
  <c r="O276" i="1" a="1"/>
  <c r="O276" i="1" s="1"/>
  <c r="O396" i="1" a="1"/>
  <c r="O396" i="1" s="1"/>
  <c r="Q392" i="1" a="1"/>
  <c r="Q392" i="1" s="1"/>
  <c r="R392" i="1" s="1"/>
  <c r="M139" i="1" a="1"/>
  <c r="M139" i="1" s="1"/>
  <c r="Q21" i="1" a="1"/>
  <c r="Q21" i="1" s="1"/>
  <c r="P186" i="1" a="1"/>
  <c r="P186" i="1" s="1"/>
  <c r="M415" i="1" a="1"/>
  <c r="M415" i="1" s="1"/>
  <c r="N284" i="1" a="1"/>
  <c r="N284" i="1" s="1"/>
  <c r="O371" i="1" a="1"/>
  <c r="O371" i="1" s="1"/>
  <c r="P149" i="1" a="1"/>
  <c r="P149" i="1" s="1"/>
  <c r="O231" i="1" a="1"/>
  <c r="O231" i="1" s="1"/>
  <c r="O354" i="1" a="1"/>
  <c r="O354" i="1" s="1"/>
  <c r="P369" i="1" a="1"/>
  <c r="P369" i="1" s="1"/>
  <c r="O27" i="1" a="1"/>
  <c r="O27" i="1" s="1"/>
  <c r="M393" i="1" a="1"/>
  <c r="M393" i="1" s="1"/>
  <c r="N121" i="1" a="1"/>
  <c r="N121" i="1" s="1"/>
  <c r="P148" i="1" a="1"/>
  <c r="P148" i="1" s="1"/>
  <c r="N204" i="1" a="1"/>
  <c r="N204" i="1" s="1"/>
  <c r="O374" i="1" a="1"/>
  <c r="O374" i="1" s="1"/>
  <c r="O390" i="1" a="1"/>
  <c r="O390" i="1" s="1"/>
  <c r="O201" i="1" a="1"/>
  <c r="O201" i="1" s="1"/>
  <c r="N343" i="1" a="1"/>
  <c r="N343" i="1" s="1"/>
  <c r="Q266" i="1" a="1"/>
  <c r="Q266" i="1" s="1"/>
  <c r="R266" i="1" s="1"/>
  <c r="M395" i="1" a="1"/>
  <c r="M395" i="1" s="1"/>
  <c r="M267" i="1" a="1"/>
  <c r="M267" i="1" s="1"/>
  <c r="P40" i="1" a="1"/>
  <c r="P40" i="1" s="1"/>
  <c r="Q386" i="1" a="1"/>
  <c r="Q386" i="1" s="1"/>
  <c r="R386" i="1" s="1"/>
  <c r="O407" i="1" a="1"/>
  <c r="O407" i="1" s="1"/>
  <c r="N371" i="1" a="1"/>
  <c r="N371" i="1" s="1"/>
  <c r="O340" i="1" a="1"/>
  <c r="O340" i="1" s="1"/>
  <c r="P300" i="1" a="1"/>
  <c r="P300" i="1" s="1"/>
  <c r="M417" i="1" a="1"/>
  <c r="M417" i="1" s="1"/>
  <c r="N413" i="1" a="1"/>
  <c r="N413" i="1" s="1"/>
  <c r="O13" i="1" a="1"/>
  <c r="O13" i="1" s="1"/>
  <c r="O347" i="1" a="1"/>
  <c r="O347" i="1" s="1"/>
  <c r="P355" i="1" a="1"/>
  <c r="P355" i="1" s="1"/>
  <c r="Q340" i="1" a="1"/>
  <c r="Q340" i="1" s="1"/>
  <c r="O235" i="1" a="1"/>
  <c r="O235" i="1" s="1"/>
  <c r="R41" i="1" l="1"/>
  <c r="R305" i="1"/>
  <c r="R52" i="1"/>
  <c r="R211" i="1"/>
  <c r="R249" i="1"/>
  <c r="R21" i="1"/>
  <c r="R389" i="1"/>
  <c r="R277" i="1"/>
  <c r="R343" i="1"/>
  <c r="R357" i="1"/>
  <c r="R308" i="1"/>
  <c r="R297" i="1"/>
  <c r="R171" i="1"/>
  <c r="R168" i="1"/>
  <c r="R140" i="1"/>
  <c r="R130" i="1"/>
  <c r="R222" i="1"/>
  <c r="R362" i="1"/>
  <c r="R244" i="1"/>
  <c r="R373" i="1"/>
  <c r="R115" i="1"/>
  <c r="R260" i="1"/>
  <c r="R331" i="1"/>
  <c r="R43" i="1"/>
  <c r="R132" i="1"/>
  <c r="R406" i="1"/>
  <c r="R401" i="1"/>
  <c r="R380" i="1"/>
  <c r="R245" i="1"/>
  <c r="R394" i="1"/>
  <c r="R419" i="1"/>
  <c r="R93" i="1"/>
  <c r="R89" i="1"/>
  <c r="R10" i="1"/>
  <c r="R157" i="1"/>
  <c r="R313" i="1"/>
  <c r="R23" i="1"/>
  <c r="R36" i="1"/>
  <c r="R181" i="1"/>
  <c r="R382" i="1"/>
  <c r="R417" i="1"/>
  <c r="R66" i="1"/>
  <c r="R138" i="1"/>
  <c r="R400" i="1"/>
  <c r="R237" i="1"/>
  <c r="R325" i="1"/>
  <c r="R317" i="1"/>
  <c r="R212" i="1"/>
  <c r="R271" i="1"/>
  <c r="R370" i="1"/>
  <c r="R314" i="1"/>
  <c r="R360" i="1"/>
  <c r="R413" i="1"/>
  <c r="R53" i="1"/>
  <c r="R145" i="1"/>
  <c r="R287" i="1"/>
  <c r="R232" i="1"/>
  <c r="R209" i="1"/>
  <c r="R410" i="1"/>
  <c r="R318" i="1"/>
  <c r="R356" i="1"/>
  <c r="R72" i="1"/>
  <c r="R74" i="1"/>
  <c r="R272" i="1"/>
  <c r="R220" i="1"/>
  <c r="R311" i="1"/>
  <c r="R289" i="1"/>
  <c r="R251" i="1"/>
  <c r="R105" i="1"/>
  <c r="R3" i="1"/>
  <c r="R90" i="1"/>
  <c r="R217" i="1"/>
  <c r="R82" i="1"/>
  <c r="R155" i="1"/>
  <c r="R395" i="1"/>
  <c r="R129" i="1"/>
  <c r="R16" i="1"/>
  <c r="R303" i="1"/>
  <c r="R126" i="1"/>
  <c r="R328" i="1"/>
  <c r="R358" i="1"/>
  <c r="R191" i="1"/>
  <c r="R340" i="1"/>
  <c r="R252" i="1"/>
  <c r="R264" i="1"/>
  <c r="R384" i="1"/>
  <c r="R335" i="1"/>
  <c r="R100" i="1"/>
  <c r="R6" i="1"/>
  <c r="R221" i="1"/>
  <c r="R398" i="1"/>
  <c r="R133" i="1"/>
  <c r="R371" i="1"/>
  <c r="R322" i="1"/>
  <c r="R390" i="1"/>
  <c r="R24" i="1"/>
  <c r="R367" i="1"/>
  <c r="R156" i="1"/>
  <c r="R283" i="1"/>
  <c r="R77" i="1"/>
  <c r="R119" i="1"/>
  <c r="R299" i="1"/>
  <c r="R397" i="1"/>
  <c r="R240" i="1"/>
  <c r="R227" i="1"/>
  <c r="R64" i="1"/>
  <c r="R285" i="1"/>
  <c r="R359" i="1"/>
  <c r="R405" i="1"/>
  <c r="R293" i="1"/>
  <c r="R316" i="1"/>
  <c r="R349" i="1"/>
  <c r="R418" i="1"/>
  <c r="R387" i="1"/>
  <c r="R75" i="1"/>
  <c r="R193" i="1"/>
  <c r="R404" i="1"/>
  <c r="R92" i="1"/>
  <c r="R194" i="1"/>
  <c r="R163" i="1"/>
  <c r="R388" i="1"/>
  <c r="R147" i="1"/>
  <c r="R63" i="1"/>
  <c r="R121" i="1"/>
  <c r="R255" i="1"/>
  <c r="R80" i="1"/>
  <c r="R350" i="1"/>
  <c r="R353" i="1"/>
  <c r="R214" i="1"/>
  <c r="R183" i="1"/>
  <c r="R60" i="1"/>
  <c r="R319" i="1"/>
  <c r="R347" i="1"/>
  <c r="R307" i="1"/>
  <c r="R204" i="1"/>
  <c r="R280" i="1"/>
  <c r="R412" i="1"/>
  <c r="R336" i="1"/>
  <c r="R330" i="1"/>
  <c r="R344" i="1"/>
  <c r="R248" i="1"/>
  <c r="R374" i="1"/>
  <c r="R149" i="1"/>
  <c r="R286" i="1"/>
  <c r="R263" i="1"/>
  <c r="R195" i="1"/>
  <c r="R162" i="1"/>
  <c r="R150" i="1"/>
  <c r="R144" i="1"/>
  <c r="R70" i="1"/>
  <c r="R13" i="1"/>
  <c r="R34" i="1"/>
  <c r="R159" i="1"/>
  <c r="R165" i="1"/>
  <c r="R99" i="1"/>
  <c r="R321" i="1"/>
  <c r="R49" i="1"/>
  <c r="R175" i="1"/>
  <c r="R137" i="1"/>
  <c r="R65" i="1"/>
  <c r="R118" i="1"/>
  <c r="R102" i="1"/>
  <c r="R296" i="1"/>
  <c r="R369" i="1"/>
  <c r="R315" i="1"/>
  <c r="R300" i="1"/>
  <c r="R326" i="1"/>
  <c r="R284" i="1"/>
  <c r="R407" i="1"/>
  <c r="R354" i="1"/>
  <c r="R188" i="1"/>
  <c r="R320" i="1"/>
  <c r="R364" i="1"/>
  <c r="R83" i="1"/>
  <c r="R228" i="1"/>
  <c r="R50" i="1"/>
  <c r="R184" i="1"/>
  <c r="R81" i="1"/>
  <c r="R206" i="1"/>
  <c r="R247" i="1"/>
  <c r="R98" i="1"/>
  <c r="R123" i="1"/>
  <c r="R117" i="1"/>
  <c r="R302" i="1"/>
  <c r="R202" i="1"/>
  <c r="R229" i="1"/>
  <c r="R56" i="1"/>
  <c r="R125" i="1"/>
  <c r="R106" i="1"/>
  <c r="R37" i="1"/>
  <c r="R45" i="1"/>
  <c r="R210" i="1"/>
  <c r="R44" i="1"/>
  <c r="R258" i="1"/>
  <c r="R208" i="1"/>
  <c r="R291" i="1"/>
  <c r="R35" i="1"/>
  <c r="R403" i="1"/>
  <c r="R55" i="1"/>
  <c r="R69" i="1"/>
  <c r="R273" i="1"/>
  <c r="R414" i="1"/>
  <c r="R19" i="1"/>
  <c r="R375" i="1"/>
  <c r="R329" i="1"/>
  <c r="R215" i="1"/>
  <c r="R250" i="1"/>
  <c r="R11" i="1"/>
  <c r="R246" i="1"/>
  <c r="R288" i="1"/>
  <c r="R85" i="1"/>
  <c r="R128" i="1"/>
  <c r="R355" i="1"/>
  <c r="R253" i="1"/>
  <c r="R192" i="1"/>
  <c r="R15" i="1"/>
  <c r="R97" i="1"/>
  <c r="R96" i="1"/>
  <c r="R73" i="1"/>
  <c r="R26" i="1"/>
  <c r="R27" i="1"/>
  <c r="R114" i="1"/>
  <c r="R259" i="1"/>
  <c r="R25" i="1"/>
  <c r="R180" i="1"/>
  <c r="R213" i="1"/>
  <c r="R292" i="1"/>
  <c r="R84" i="1"/>
  <c r="R71" i="1"/>
  <c r="R148" i="1"/>
  <c r="R231" i="1"/>
  <c r="R233" i="1"/>
  <c r="R51" i="1"/>
  <c r="R29" i="1"/>
  <c r="R48" i="1"/>
  <c r="R101" i="1"/>
  <c r="R166" i="1"/>
  <c r="R135" i="1"/>
  <c r="R103" i="1"/>
  <c r="R196" i="1"/>
  <c r="R122" i="1"/>
  <c r="R274" i="1"/>
  <c r="R2" i="1"/>
  <c r="R379" i="1"/>
  <c r="R189" i="1"/>
  <c r="R324" i="1"/>
  <c r="R158" i="1"/>
  <c r="R393" i="1"/>
  <c r="R409" i="1"/>
  <c r="R339" i="1"/>
  <c r="R416" i="1"/>
  <c r="R338" i="1"/>
  <c r="R57" i="1"/>
  <c r="R278" i="1"/>
  <c r="R281" i="1"/>
  <c r="R197" i="1"/>
  <c r="R219" i="1"/>
  <c r="R385" i="1"/>
  <c r="R269" i="1"/>
  <c r="R312" i="1"/>
  <c r="R304" i="1"/>
  <c r="R415" i="1"/>
  <c r="R178" i="1"/>
  <c r="R91" i="1"/>
  <c r="R333" i="1"/>
  <c r="R310" i="1"/>
  <c r="R124" i="1"/>
  <c r="R290" i="1"/>
  <c r="R12" i="1"/>
  <c r="R87" i="1"/>
  <c r="R216" i="1"/>
  <c r="R40" i="1"/>
  <c r="R134" i="1"/>
  <c r="R160" i="1"/>
  <c r="R230" i="1"/>
  <c r="R169" i="1"/>
  <c r="R32" i="1"/>
  <c r="R161" i="1"/>
  <c r="R78" i="1"/>
  <c r="R47" i="1"/>
  <c r="R68" i="1"/>
  <c r="R141" i="1"/>
  <c r="R28" i="1"/>
  <c r="R218" i="1"/>
  <c r="R201" i="1"/>
  <c r="R298" i="1"/>
  <c r="R301" i="1"/>
  <c r="R241" i="1"/>
  <c r="R88" i="1"/>
  <c r="R351" i="1"/>
  <c r="R383" i="1"/>
  <c r="R334" i="1"/>
  <c r="R243" i="1"/>
  <c r="R282" i="1"/>
  <c r="R294" i="1"/>
  <c r="R198" i="1"/>
  <c r="R154" i="1"/>
  <c r="R110" i="1"/>
  <c r="R242" i="1"/>
  <c r="R14" i="1"/>
  <c r="R153" i="1"/>
  <c r="R182" i="1"/>
  <c r="R58" i="1"/>
  <c r="R270" i="1"/>
  <c r="R62" i="1"/>
  <c r="R17" i="1"/>
  <c r="R67" i="1"/>
  <c r="R402" i="1"/>
  <c r="R376" i="1"/>
  <c r="R226" i="1"/>
  <c r="R239" i="1"/>
  <c r="R261" i="1"/>
  <c r="R372" i="1"/>
  <c r="R177" i="1"/>
  <c r="R275" i="1"/>
  <c r="R76" i="1"/>
  <c r="R224" i="1"/>
  <c r="R236" i="1"/>
  <c r="R151" i="1"/>
  <c r="R332" i="1"/>
  <c r="R254" i="1"/>
  <c r="R408" i="1"/>
  <c r="R143" i="1"/>
  <c r="R59" i="1"/>
  <c r="R279" i="1"/>
  <c r="R170" i="1"/>
  <c r="R199" i="1"/>
  <c r="R22" i="1"/>
  <c r="R20" i="1"/>
  <c r="R176" i="1"/>
  <c r="R9" i="1"/>
  <c r="R378" i="1"/>
  <c r="R265" i="1"/>
  <c r="R323" i="1"/>
  <c r="R276" i="1"/>
  <c r="R341" i="1"/>
  <c r="R18" i="1"/>
  <c r="R268" i="1"/>
  <c r="R345" i="1"/>
  <c r="R39" i="1"/>
  <c r="R352" i="1"/>
  <c r="R399" i="1"/>
  <c r="R396" i="1"/>
  <c r="R295" i="1"/>
  <c r="R203" i="1"/>
  <c r="R79" i="1"/>
  <c r="R131" i="1"/>
  <c r="R139" i="1"/>
  <c r="R95" i="1"/>
  <c r="R104" i="1"/>
  <c r="R186" i="1"/>
  <c r="R108" i="1"/>
  <c r="R167" i="1"/>
  <c r="R33" i="1"/>
  <c r="R207" i="1"/>
</calcChain>
</file>

<file path=xl/sharedStrings.xml><?xml version="1.0" encoding="utf-8"?>
<sst xmlns="http://schemas.openxmlformats.org/spreadsheetml/2006/main" count="860" uniqueCount="856">
  <si>
    <t>단축코드</t>
  </si>
  <si>
    <t>종목명</t>
  </si>
  <si>
    <t>KODEX 200</t>
  </si>
  <si>
    <t>KOSEF 200</t>
  </si>
  <si>
    <t>KODEX 반도체</t>
  </si>
  <si>
    <t>KODEX 은행</t>
  </si>
  <si>
    <t>KODEX 자동차</t>
  </si>
  <si>
    <t>TIGER 은행</t>
  </si>
  <si>
    <t>TIGER 반도체</t>
  </si>
  <si>
    <t>TIGER 방송통신</t>
  </si>
  <si>
    <t>KODEX 차이나H</t>
  </si>
  <si>
    <t>KOSEF KRX100</t>
  </si>
  <si>
    <t>TIGER 200</t>
  </si>
  <si>
    <t>KODEX 삼성그룹</t>
  </si>
  <si>
    <t>KODEX 기계장비</t>
  </si>
  <si>
    <t>KODEX 증권</t>
  </si>
  <si>
    <t>KOSEF 블루칩</t>
  </si>
  <si>
    <t>KOSEF 고배당</t>
  </si>
  <si>
    <t>KINDEX 200</t>
  </si>
  <si>
    <t>KBSTAR 5대그룹주</t>
  </si>
  <si>
    <t>KINDEX 삼성그룹섹터가중</t>
  </si>
  <si>
    <t>TREX 200</t>
  </si>
  <si>
    <t>KBSTAR 국고채3년</t>
  </si>
  <si>
    <t>KODEX 국고채3년</t>
  </si>
  <si>
    <t>KOSEF 국고채3년</t>
  </si>
  <si>
    <t>KODEX 인버스</t>
  </si>
  <si>
    <t>TIGER 국채3년</t>
  </si>
  <si>
    <t>KODEX 에너지화학</t>
  </si>
  <si>
    <t>KODEX 철강</t>
  </si>
  <si>
    <t>TIGER 차이나항셍25</t>
  </si>
  <si>
    <t>KODEX 건설</t>
  </si>
  <si>
    <t>ARIRANG 코스피50</t>
  </si>
  <si>
    <t>KOSEF 통안채1년</t>
  </si>
  <si>
    <t>KODEX 레버리지</t>
  </si>
  <si>
    <t>TIGER 인버스</t>
  </si>
  <si>
    <t>TIGER 레버리지</t>
  </si>
  <si>
    <t>TIGER 원유선물Enhanced(H)</t>
  </si>
  <si>
    <t>KOSEF 단기자금</t>
  </si>
  <si>
    <t>KINDEX 삼성그룹동일가중</t>
  </si>
  <si>
    <t>KODEX 골드선물(H)</t>
  </si>
  <si>
    <t>TIGER 미국나스닥100</t>
  </si>
  <si>
    <t>KBSTAR 중기우량회사채</t>
  </si>
  <si>
    <t>KOSEF 미국달러선물</t>
  </si>
  <si>
    <t>TIGER 삼성그룹펀더멘털</t>
  </si>
  <si>
    <t>TIGER LG그룹+펀더멘털</t>
  </si>
  <si>
    <t>TIGER 현대차그룹+펀더멘털</t>
  </si>
  <si>
    <t>KODEX 구리선물(H)</t>
  </si>
  <si>
    <t>KODEX 콩선물(H)</t>
  </si>
  <si>
    <t>TIGER 200 건설</t>
  </si>
  <si>
    <t>TIGER 200 중공업</t>
  </si>
  <si>
    <t>TIGER 200 철강소재</t>
  </si>
  <si>
    <t>TIGER 200 에너지화학</t>
  </si>
  <si>
    <t>TIGER 200 IT</t>
  </si>
  <si>
    <t>TIGER 200 금융</t>
  </si>
  <si>
    <t>TIGER 경기방어</t>
  </si>
  <si>
    <t>TIGER 200 경기소비재</t>
  </si>
  <si>
    <t>KOSEF 미국달러선물인버스</t>
  </si>
  <si>
    <t>KBSTAR 수출주</t>
  </si>
  <si>
    <t>KBSTAR 우량업종</t>
  </si>
  <si>
    <t>KODEX 보험</t>
  </si>
  <si>
    <t>KODEX 운송</t>
  </si>
  <si>
    <t>파워 코스피100</t>
  </si>
  <si>
    <t>KINDEX 밸류대형</t>
  </si>
  <si>
    <t>TIGER 미국S&amp;P500선물(H)</t>
  </si>
  <si>
    <t>TIGER 헬스케어</t>
  </si>
  <si>
    <t>KODEX 은선물(H)</t>
  </si>
  <si>
    <t>KINDEX 인버스</t>
  </si>
  <si>
    <t>TREX 펀더멘탈 200</t>
  </si>
  <si>
    <t>TIGER 모멘텀</t>
  </si>
  <si>
    <t>KBSTAR 200</t>
  </si>
  <si>
    <t>KOSEF 국고채10년</t>
  </si>
  <si>
    <t>TIGER 중국소비테마</t>
  </si>
  <si>
    <t>ARIRANG 200</t>
  </si>
  <si>
    <t>KODEX 국채선물10년</t>
  </si>
  <si>
    <t>KINDEX 레버리지</t>
  </si>
  <si>
    <t>파워 200</t>
  </si>
  <si>
    <t>KODEX 단기채권</t>
  </si>
  <si>
    <t>KODEX MSCI Korea</t>
  </si>
  <si>
    <t>TIGER 단기통안채</t>
  </si>
  <si>
    <t>TIGER 소프트웨어</t>
  </si>
  <si>
    <t>TIGER 증권</t>
  </si>
  <si>
    <t>마이티 코스피100</t>
  </si>
  <si>
    <t>ARIRANG 고배당주</t>
  </si>
  <si>
    <t>TIGER 200커버드콜5%OTM</t>
  </si>
  <si>
    <t>KOSEF 국고채10년레버리지</t>
  </si>
  <si>
    <t>KTOP 코스피50</t>
  </si>
  <si>
    <t>KINDEX 중국본토CSI300</t>
  </si>
  <si>
    <t>KODEX 차이나A50</t>
  </si>
  <si>
    <t>TIGER 로우볼</t>
  </si>
  <si>
    <t>KBSTAR 중국본토대형주CSI100</t>
  </si>
  <si>
    <t>KODEX 국채선물10년인버스</t>
  </si>
  <si>
    <t>KINDEX 미국다우존스리츠(합성 H)</t>
  </si>
  <si>
    <t>TIGER 미국MSCI리츠(합성 H)</t>
  </si>
  <si>
    <t>TIGER 단기선진하이일드(합성 H)</t>
  </si>
  <si>
    <t>KBSTAR 채권혼합</t>
  </si>
  <si>
    <t>KBSTAR 주식혼합</t>
  </si>
  <si>
    <t>ARIRANG 글로벌MSCI(합성 H)</t>
  </si>
  <si>
    <t>TIGER 차이나CSI300</t>
  </si>
  <si>
    <t>파워 고배당저변동성</t>
  </si>
  <si>
    <t>TIGER 일본TOPIX(합성 H)</t>
  </si>
  <si>
    <t>TIGER 유로스탁스50(합성 H)</t>
  </si>
  <si>
    <t>ARIRANG 선진국MSCI(합성 H)</t>
  </si>
  <si>
    <t>ARIRANG 신흥국MSCI(합성 H)</t>
  </si>
  <si>
    <t>KINDEX 일본TOPIX레버리지(H)</t>
  </si>
  <si>
    <t>KBSTAR 단기통안채</t>
  </si>
  <si>
    <t>KOSEF 인도Nifty50(합성)</t>
  </si>
  <si>
    <t>TIGER 미국나스닥바이오</t>
  </si>
  <si>
    <t>KODEX 차이나H레버리지(H)</t>
  </si>
  <si>
    <t>TIGER 차이나CSI300레버리지(합성)</t>
  </si>
  <si>
    <t>KINDEX 일본TOPIX인버스(합성 H)</t>
  </si>
  <si>
    <t>TIGER 코스피고배당</t>
  </si>
  <si>
    <t>TIGER 배당성장</t>
  </si>
  <si>
    <t>KODEX 배당성장</t>
  </si>
  <si>
    <t>KODEX 삼성그룹밸류</t>
  </si>
  <si>
    <t>KODEX 단기채권PLUS</t>
  </si>
  <si>
    <t>HK S&amp;P코리아로우볼</t>
  </si>
  <si>
    <t>TIGER 원유선물인버스(H)</t>
  </si>
  <si>
    <t>TIGER 차이나CSI300인버스(합성)</t>
  </si>
  <si>
    <t>TIGER 가격조정</t>
  </si>
  <si>
    <t>KODEX 미국S&amp;P500선물(H)</t>
  </si>
  <si>
    <t>KODEX 200가치저변동</t>
  </si>
  <si>
    <t>TIGER 미국S&amp;P500선물인버스(H)</t>
  </si>
  <si>
    <t>TIGER 미국S&amp;P500레버리지(합성 H)</t>
  </si>
  <si>
    <t>TIGER 유로스탁스레버리지(합성 H)</t>
  </si>
  <si>
    <t>TIGER 이머징마켓MSCI레버리지(합성 H)</t>
  </si>
  <si>
    <t>KINDEX 골드선물 레버리지(합성 H)</t>
  </si>
  <si>
    <t>KOSEF 미국달러선물레버리지</t>
  </si>
  <si>
    <t>KODEX 코스피</t>
  </si>
  <si>
    <t>KODEX 200 중소형</t>
  </si>
  <si>
    <t>TIGER 200 헬스케어</t>
  </si>
  <si>
    <t>TIGER 200 산업재</t>
  </si>
  <si>
    <t>TIGER 200 생활소비재</t>
  </si>
  <si>
    <t>TIGER 우량가치</t>
  </si>
  <si>
    <t>ARIRANG 코스피</t>
  </si>
  <si>
    <t>TIGER 화장품</t>
  </si>
  <si>
    <t>TIGER 여행레저</t>
  </si>
  <si>
    <t>TIGER 미디어컨텐츠</t>
  </si>
  <si>
    <t>TIGER KTOP30</t>
  </si>
  <si>
    <t>KODEX 코스닥150</t>
  </si>
  <si>
    <t>KODEX KTOP30</t>
  </si>
  <si>
    <t>KOSEF 미국달러선물인버스2X</t>
  </si>
  <si>
    <t>TIGER 코스닥150</t>
  </si>
  <si>
    <t>TIGER 코스닥150 레버리지</t>
  </si>
  <si>
    <t>KODEX 코스닥150레버리지</t>
  </si>
  <si>
    <t>KBSTAR V&amp;S셀렉트밸류</t>
  </si>
  <si>
    <t>TIGER 인도니프티50레버리지(합성)</t>
  </si>
  <si>
    <t>KODEX 코스피100</t>
  </si>
  <si>
    <t>KODEX 배당성장채권혼합</t>
  </si>
  <si>
    <t>TIGER 경기방어채권혼합</t>
  </si>
  <si>
    <t>ARIRANG 스마트베타Quality채권혼합</t>
  </si>
  <si>
    <t>KINDEX 일본Nikkei225(H)</t>
  </si>
  <si>
    <t>ARIRANG 우량회사채50 1년</t>
  </si>
  <si>
    <t>TIGER 일본니케이225</t>
  </si>
  <si>
    <t>KBSTAR V&amp;S셀렉트밸류채권혼합</t>
  </si>
  <si>
    <t>TIGER 200IT레버리지</t>
  </si>
  <si>
    <t>TIGER 200에너지화학레버리지</t>
  </si>
  <si>
    <t>KODEX 바이오</t>
  </si>
  <si>
    <t>KODEX 모멘텀Plus</t>
  </si>
  <si>
    <t>KODEX 퀄리티Plus</t>
  </si>
  <si>
    <t>KODEX 밸류Plus</t>
  </si>
  <si>
    <t>TIGER 미국다우존스30</t>
  </si>
  <si>
    <t>TIGER 차이나HSCEI</t>
  </si>
  <si>
    <t>KINDEX 베트남VN30(합성)</t>
  </si>
  <si>
    <t>TIGER 일본TOPIX헬스케어(합성)</t>
  </si>
  <si>
    <t>TIGER S&amp;P글로벌헬스케어(합성)</t>
  </si>
  <si>
    <t>KBSTAR 차이나HSCEI(H)</t>
  </si>
  <si>
    <t>TIGER 코스닥150선물인버스</t>
  </si>
  <si>
    <t>KODEX 코스닥150선물인버스</t>
  </si>
  <si>
    <t>KODEX 선진국MSCI World</t>
  </si>
  <si>
    <t>ARIRANG 고배당주채권혼합</t>
  </si>
  <si>
    <t>TIGER 200동일가중</t>
  </si>
  <si>
    <t>KBSTAR 200선물레버리지</t>
  </si>
  <si>
    <t>KBSTAR 200선물인버스</t>
  </si>
  <si>
    <t>KBSTAR 200선물인버스2X</t>
  </si>
  <si>
    <t>KODEX 200선물인버스2X</t>
  </si>
  <si>
    <t>TIGER 200선물인버스2X</t>
  </si>
  <si>
    <t>KBSTAR 모멘텀밸류</t>
  </si>
  <si>
    <t>KBSTAR 모멘텀로우볼</t>
  </si>
  <si>
    <t>ARIRANG 200선물레버리지</t>
  </si>
  <si>
    <t>ARIRANG 200선물인버스2X</t>
  </si>
  <si>
    <t>KOSEF 200선물인버스2X</t>
  </si>
  <si>
    <t>KOSEF 200선물인버스</t>
  </si>
  <si>
    <t>KOSEF 200선물레버리지</t>
  </si>
  <si>
    <t>KBSTAR 헬스케어</t>
  </si>
  <si>
    <t>KBSTAR 헬스케어채권혼합</t>
  </si>
  <si>
    <t>TIGER 코스닥150IT</t>
  </si>
  <si>
    <t>TIGER 코스닥150바이오테크</t>
  </si>
  <si>
    <t>TIGER 우선주</t>
  </si>
  <si>
    <t>KODEX WTI원유선물(H)</t>
  </si>
  <si>
    <t>KODEX 미국달러선물</t>
  </si>
  <si>
    <t>KODEX 미국달러선물레버리지</t>
  </si>
  <si>
    <t>KODEX 미국달러선물인버스2X</t>
  </si>
  <si>
    <t>KODEX 미국달러선물인버스</t>
  </si>
  <si>
    <t>KBSTAR 고배당</t>
  </si>
  <si>
    <t>KBSTAR 미국장기국채선물(H)</t>
  </si>
  <si>
    <t>KBSTAR 미국장기국채선물인버스(H)</t>
  </si>
  <si>
    <t>KBSTAR 미국장기국채선물레버리지(합성 H)</t>
  </si>
  <si>
    <t>KBSTAR 미국장기국채선물인버스2X(합성 H)</t>
  </si>
  <si>
    <t>TIGER 200선물레버리지</t>
  </si>
  <si>
    <t>TIGER S&amp;P글로벌인프라(합성)</t>
  </si>
  <si>
    <t>ARIRANG 미국S&amp;P500(H)</t>
  </si>
  <si>
    <t>KBSTAR KQ고배당</t>
  </si>
  <si>
    <t>KBSTAR 코스닥150</t>
  </si>
  <si>
    <t>KODEX WTI원유선물인버스(H)</t>
  </si>
  <si>
    <t>KINDEX 스마트모멘텀</t>
  </si>
  <si>
    <t>KINDEX 스마트밸류</t>
  </si>
  <si>
    <t>KBSTAR 단기국공채액티브</t>
  </si>
  <si>
    <t>KBSTAR 중장기국공채액티브</t>
  </si>
  <si>
    <t>KINDEX 중장기국공채액티브</t>
  </si>
  <si>
    <t>KODEX 종합채권(AA-이상)액티브</t>
  </si>
  <si>
    <t>KODEX MSCI모멘텀</t>
  </si>
  <si>
    <t>KODEX MSCI밸류</t>
  </si>
  <si>
    <t>KODEX MSCI퀄리티</t>
  </si>
  <si>
    <t>KBSTAR 코스닥150선물인버스</t>
  </si>
  <si>
    <t>TIGER 글로벌4차산업혁신기술(합성 H)</t>
  </si>
  <si>
    <t>TIGER 글로벌자원생산기업(합성 H)</t>
  </si>
  <si>
    <t>TIGER 코스피</t>
  </si>
  <si>
    <t>TIGER 코스피대형주</t>
  </si>
  <si>
    <t>TIGER 코스피중형주</t>
  </si>
  <si>
    <t>KBSTAR 코스닥150선물레버리지</t>
  </si>
  <si>
    <t>KODEX 200TR</t>
  </si>
  <si>
    <t>KODEX MSCI Korea TR</t>
  </si>
  <si>
    <t>ARIRANG 단기채권액티브</t>
  </si>
  <si>
    <t>ARIRANG 주도업종</t>
  </si>
  <si>
    <t>KODEX 미국러셀2000(H)</t>
  </si>
  <si>
    <t>KODEX 골드선물인버스(H)</t>
  </si>
  <si>
    <t>KBSTAR 중소형고배당</t>
  </si>
  <si>
    <t>KBSTAR 국고채3년선물인버스</t>
  </si>
  <si>
    <t>KBSTAR 200금융</t>
  </si>
  <si>
    <t>KBSTAR 200에너지화학</t>
  </si>
  <si>
    <t>KBSTAR 200IT</t>
  </si>
  <si>
    <t>KBSTAR 200중공업</t>
  </si>
  <si>
    <t>KBSTAR 200철강소재</t>
  </si>
  <si>
    <t>KBSTAR 200건설</t>
  </si>
  <si>
    <t>KBSTAR 200경기소비재</t>
  </si>
  <si>
    <t>KBSTAR 200산업재</t>
  </si>
  <si>
    <t>KBSTAR 200생활소비재</t>
  </si>
  <si>
    <t>TIGER MSCI KOREA ESG유니버설</t>
  </si>
  <si>
    <t>TIGER MSCI KOREA ESG리더스</t>
  </si>
  <si>
    <t>KBSTAR 200고배당커버드콜ATM</t>
  </si>
  <si>
    <t>KBSTAR ESG사회책임투자</t>
  </si>
  <si>
    <t>KOSEF 코스닥150선물인버스</t>
  </si>
  <si>
    <t>KOSEF 코스닥150선물레버리지</t>
  </si>
  <si>
    <t>KBSTAR 차이나H선물인버스(H)</t>
  </si>
  <si>
    <t>KODEX MSCI EM선물(H)</t>
  </si>
  <si>
    <t>KBSTAR KRX300</t>
  </si>
  <si>
    <t>TIGER TOP10</t>
  </si>
  <si>
    <t>TIGER KRX300</t>
  </si>
  <si>
    <t>KODEX KRX300</t>
  </si>
  <si>
    <t>SOL KRX300</t>
  </si>
  <si>
    <t>TIGER 일본엔선물</t>
  </si>
  <si>
    <t>FOCUS KRX300</t>
  </si>
  <si>
    <t>ARIRANG KRX300</t>
  </si>
  <si>
    <t>KODEX 국채선물3년인버스</t>
  </si>
  <si>
    <t>HANARO 200</t>
  </si>
  <si>
    <t>KOSEF 200TR</t>
  </si>
  <si>
    <t>KBSTAR 국채선물10년</t>
  </si>
  <si>
    <t>KBSTAR 국채선물10년인버스</t>
  </si>
  <si>
    <t>SOL 200TR</t>
  </si>
  <si>
    <t>ARIRANG 200동일가중</t>
  </si>
  <si>
    <t>TIGER K게임</t>
  </si>
  <si>
    <t>KBSTAR 게임테마</t>
  </si>
  <si>
    <t>KODEX 게임산업</t>
  </si>
  <si>
    <t>ARIRANG 코스닥150선물인버스</t>
  </si>
  <si>
    <t>TIGER 중장기국채</t>
  </si>
  <si>
    <t>KBSTAR 코스피</t>
  </si>
  <si>
    <t>KODEX 미국채울트라30년선물(H)</t>
  </si>
  <si>
    <t>KODEX 미국채울트라30년선물인버스(H)</t>
  </si>
  <si>
    <t>HANARO KRX300</t>
  </si>
  <si>
    <t>HANARO 코스닥150</t>
  </si>
  <si>
    <t>HANARO 200선물레버리지</t>
  </si>
  <si>
    <t>KODEX 미국나스닥100선물(H)</t>
  </si>
  <si>
    <t>KINDEX 코스피</t>
  </si>
  <si>
    <t>TIGER 미국채10년선물</t>
  </si>
  <si>
    <t>TIGER 2차전지테마</t>
  </si>
  <si>
    <t>KODEX 2차전지산업</t>
  </si>
  <si>
    <t>HANARO 200선물인버스</t>
  </si>
  <si>
    <t>HANARO 코스닥150선물레버리지</t>
  </si>
  <si>
    <t>KODEX KRX300레버리지</t>
  </si>
  <si>
    <t>KBSTAR KRX300레버리지</t>
  </si>
  <si>
    <t>TIGER 의료기기</t>
  </si>
  <si>
    <t>TIGER 지주회사</t>
  </si>
  <si>
    <t>KODEX 미국채10년선물</t>
  </si>
  <si>
    <t>KBSTAR 중국MSCI China(H)</t>
  </si>
  <si>
    <t>TIGER 200TR</t>
  </si>
  <si>
    <t>TIGER MSCI Korea TR</t>
  </si>
  <si>
    <t>KODEX 미국FANG플러스(H)</t>
  </si>
  <si>
    <t>TIGER 200커뮤니케이션서비스</t>
  </si>
  <si>
    <t>KBSTAR 200커뮤니케이션서비스</t>
  </si>
  <si>
    <t>KODEX Top5PlusTR</t>
  </si>
  <si>
    <t>KBSTAR 대형고배당10TR</t>
  </si>
  <si>
    <t>TIGER 골드선물(H)</t>
  </si>
  <si>
    <t>KBSTAR KRX300미국달러선물혼합</t>
  </si>
  <si>
    <t>KODEX 멀티에셋하이인컴(H)</t>
  </si>
  <si>
    <t>KINDEX 스마트퀄리티</t>
  </si>
  <si>
    <t>KINDEX 스마트로우볼</t>
  </si>
  <si>
    <t>KINDEX 스마트하이베타</t>
  </si>
  <si>
    <t>HANARO e커머스</t>
  </si>
  <si>
    <t>HANARO 고배당</t>
  </si>
  <si>
    <t>KODEX Fn성장</t>
  </si>
  <si>
    <t>KODEX 배당가치</t>
  </si>
  <si>
    <t>KBSTAR 내수주플러스</t>
  </si>
  <si>
    <t>KBSTAR IT플러스</t>
  </si>
  <si>
    <t>ARIRANG 코스피TR</t>
  </si>
  <si>
    <t>TIGER 리츠부동산인프라</t>
  </si>
  <si>
    <t>KINDEX 200TR</t>
  </si>
  <si>
    <t>HANARO 200TR</t>
  </si>
  <si>
    <t>HANARO MSCI Korea TR</t>
  </si>
  <si>
    <t>ARIRANG KS로우볼가중TR</t>
  </si>
  <si>
    <t>ARIRANG KS로우사이즈가중TR</t>
  </si>
  <si>
    <t>ARIRANG KS모멘텀가중TR</t>
  </si>
  <si>
    <t>ARIRANG KS밸류가중TR</t>
  </si>
  <si>
    <t>ARIRANG KS퀄리티가중TR</t>
  </si>
  <si>
    <t>KBSTAR 팔라듐선물(H)</t>
  </si>
  <si>
    <t>KBSTAR 팔라듐선물인버스(H)</t>
  </si>
  <si>
    <t>KBSTAR 금융채액티브</t>
  </si>
  <si>
    <t>TIGER 리츠부동산인프라채권TR KIS</t>
  </si>
  <si>
    <t>KBSTAR 미국고정배당우선증권ICE TR</t>
  </si>
  <si>
    <t>HANARO 글로벌럭셔리S&amp;P(합성)</t>
  </si>
  <si>
    <t>KINDEX 코스닥150</t>
  </si>
  <si>
    <t>TIGER CD금리투자KIS(합성)</t>
  </si>
  <si>
    <t>KODEX 200롱코스닥150숏선물</t>
  </si>
  <si>
    <t>KODEX 코스닥150롱코스피200숏선물</t>
  </si>
  <si>
    <t>KINDEX 미국S&amp;P500</t>
  </si>
  <si>
    <t>TIGER 미국S&amp;P500</t>
  </si>
  <si>
    <t>KBSTAR 200TR</t>
  </si>
  <si>
    <t>KBSTAR 코스피ex200</t>
  </si>
  <si>
    <t>TIGER KRX BBIG K-뉴딜</t>
  </si>
  <si>
    <t>TIGER KRX바이오K-뉴딜</t>
  </si>
  <si>
    <t>TIGER KRX2차전지K-뉴딜</t>
  </si>
  <si>
    <t>TIGER KRX게임K-뉴딜</t>
  </si>
  <si>
    <t>TIGER KRX인터넷K-뉴딜</t>
  </si>
  <si>
    <t>TIGER AI코리아그로스액티브</t>
  </si>
  <si>
    <t>KINDEX 국고채10년</t>
  </si>
  <si>
    <t>KINDEX 미국나스닥100</t>
  </si>
  <si>
    <t>HANARO Fn5G산업</t>
  </si>
  <si>
    <t>KBSTAR Fn5G테크</t>
  </si>
  <si>
    <t>KBSTAR Fn수소경제테마</t>
  </si>
  <si>
    <t>HANARO Fn K-뉴딜디지털플러스</t>
  </si>
  <si>
    <t>KBSTAR Fn K-뉴딜디지털플러스</t>
  </si>
  <si>
    <t>KINDEX Fn K-뉴딜디지털플러스</t>
  </si>
  <si>
    <t>KBSTAR 미국나스닥100</t>
  </si>
  <si>
    <t>KODEX Fn K-뉴딜디지털플러스</t>
  </si>
  <si>
    <t>KBSTAR 차이나항셍테크</t>
  </si>
  <si>
    <t>TIGER 차이나항셍테크</t>
  </si>
  <si>
    <t>TIGER 글로벌클라우드컴퓨팅INDXX</t>
  </si>
  <si>
    <t>TIGER 차이나전기차SOLACTIVE</t>
  </si>
  <si>
    <t>TIGER 차이나바이오테크SOLACTIVE</t>
  </si>
  <si>
    <t>KINDEX 차이나항셍테크</t>
  </si>
  <si>
    <t>KODEX 차이나항셍테크</t>
  </si>
  <si>
    <t>KOSEF 미국방어배당성장나스닥</t>
  </si>
  <si>
    <t>HANARO 탄소효율그린뉴딜</t>
  </si>
  <si>
    <t>KODEX 탄소효율그린뉴딜</t>
  </si>
  <si>
    <t>TIGER 탄소효율그린뉴딜</t>
  </si>
  <si>
    <t>KBSTAR 미국S&amp;P500</t>
  </si>
  <si>
    <t>KBSTAR 유로스탁스50(H)</t>
  </si>
  <si>
    <t>KODEX 미국S&amp;P500TR</t>
  </si>
  <si>
    <t>KODEX 미국나스닥100TR</t>
  </si>
  <si>
    <t>TIGER 미국필라델피아반도체나스닥</t>
  </si>
  <si>
    <t>HANARO Fn전기&amp;수소차</t>
  </si>
  <si>
    <t>HANARO Fn친환경에너지</t>
  </si>
  <si>
    <t>KBSTAR KIS종합채권(A-이상)액티브</t>
  </si>
  <si>
    <t>KBSTAR KIS단기종합채권(AA-이상)액티브</t>
  </si>
  <si>
    <t>KBSTAR KIS국고채30년Enhanced</t>
  </si>
  <si>
    <t>TIMEFOLIO BBIG액티브</t>
  </si>
  <si>
    <t>TIMEFOLIO Kstock액티브</t>
  </si>
  <si>
    <t>KBSTAR Fn컨택트대표</t>
  </si>
  <si>
    <t>KBSTAR 비메모리반도체액티브</t>
  </si>
  <si>
    <t>HANARO 단기채권액티브</t>
  </si>
  <si>
    <t>HK 하이볼액티브</t>
  </si>
  <si>
    <t>KOSEF 릭소글로벌디지털경제MSCI</t>
  </si>
  <si>
    <t>KOSEF 릭소글로벌퓨처모빌리티MSCI</t>
  </si>
  <si>
    <t>TIGER 글로벌자율주행&amp;전기차SOLACTIVE</t>
  </si>
  <si>
    <t>TIGER 글로벌리튬&amp;2차전지SOLACTIVE(합성)</t>
  </si>
  <si>
    <t>KODEX Fn웹툰&amp;드라마</t>
  </si>
  <si>
    <t>KODEX Fn시스템반도체</t>
  </si>
  <si>
    <t>KODEX Fn Top10동일가중</t>
  </si>
  <si>
    <t>HANARO Fn K-반도체</t>
  </si>
  <si>
    <t>HANARO Fn K-게임</t>
  </si>
  <si>
    <t>HANARO Fn K-POP&amp;미디어</t>
  </si>
  <si>
    <t>ARIRANG ESG가치주액티브</t>
  </si>
  <si>
    <t>ARIRANG ESG성장주액티브</t>
  </si>
  <si>
    <t>TIGER Fn반도체TOP10</t>
  </si>
  <si>
    <t>TIGER 차이나클린에너지SOLACTIVE</t>
  </si>
  <si>
    <t>TIGER 차이나반도체FACTSET</t>
  </si>
  <si>
    <t>KBSTAR 국채선물5년추종인버스</t>
  </si>
  <si>
    <t>KBSTAR 국채선물5년추종</t>
  </si>
  <si>
    <t>SOL 미국S&amp;P500ESG</t>
  </si>
  <si>
    <t>KBSTAR 글로벌클린에너지S&amp;P</t>
  </si>
  <si>
    <t>KODEX 유럽탄소배출권선물ICE(H)</t>
  </si>
  <si>
    <t>TIGER Fn메타버스</t>
  </si>
  <si>
    <t>KBSTAR iSelect메타버스</t>
  </si>
  <si>
    <t>KODEX K-메타버스액티브</t>
  </si>
  <si>
    <t>HANARO Fn K-메타버스MZ</t>
  </si>
  <si>
    <t>KINDEX 미국고배당S&amp;P</t>
  </si>
  <si>
    <t>KBSTAR KRX기후변화솔루션</t>
  </si>
  <si>
    <t>TIMEFOLIO 탄소중립액티브</t>
  </si>
  <si>
    <t>KODEX KRX기후변화솔루션</t>
  </si>
  <si>
    <t>HANARO KRX기후변화솔루션</t>
  </si>
  <si>
    <t>TIGER KRX기후변화솔루션</t>
  </si>
  <si>
    <t>HANARO Fn골프테마</t>
  </si>
  <si>
    <t>HANARO 200 TOP10</t>
  </si>
  <si>
    <t>에셋플러스 코리아플랫폼액티브</t>
  </si>
  <si>
    <t>에셋플러스 글로벌플랫폼액티브</t>
  </si>
  <si>
    <t>KODEX 미국나스닥100선물인버스(H)</t>
  </si>
  <si>
    <t>KODEX 미국나스닥100레버리지(합성 H)</t>
  </si>
  <si>
    <t>TIMEFOLIO K컬처액티브</t>
  </si>
  <si>
    <t>SOL 200 Top10</t>
  </si>
  <si>
    <t>KBSTAR 글로벌메타버스Moorgate</t>
  </si>
  <si>
    <t>KOSEF 독일DAX</t>
  </si>
  <si>
    <t>TIGER 글로벌메타버스액티브</t>
  </si>
  <si>
    <t>TIGER 차이나과창판STAR50(합성)</t>
  </si>
  <si>
    <t>KODEX 차이나과창판STAR50(합성)</t>
  </si>
  <si>
    <t>KBSTAR 글로벌수소경제Indxx</t>
  </si>
  <si>
    <t>TIGER KEDI혁신기업ESG30</t>
  </si>
  <si>
    <t>TIGER 미국나스닥100레버리지(합성)</t>
  </si>
  <si>
    <t>KODEX 미국클린에너지나스닥</t>
  </si>
  <si>
    <t>KODEX 차이나2차전지MSCI(합성)</t>
  </si>
  <si>
    <t>ARIRANG iSelect우주항공&amp;UAM</t>
  </si>
  <si>
    <t>KBSTAR 2차전지액티브</t>
  </si>
  <si>
    <t>신고 
스프레드 호가</t>
    <phoneticPr fontId="2" type="noConversion"/>
  </si>
  <si>
    <t>매도1호가</t>
    <phoneticPr fontId="2" type="noConversion"/>
  </si>
  <si>
    <t>매수1호가</t>
    <phoneticPr fontId="2" type="noConversion"/>
  </si>
  <si>
    <t>069500</t>
  </si>
  <si>
    <t>069660</t>
  </si>
  <si>
    <t>091160</t>
  </si>
  <si>
    <t>091170</t>
  </si>
  <si>
    <t>091180</t>
  </si>
  <si>
    <t>091220</t>
  </si>
  <si>
    <t>091230</t>
  </si>
  <si>
    <t>098560</t>
  </si>
  <si>
    <t>099140</t>
  </si>
  <si>
    <t>100910</t>
  </si>
  <si>
    <t>102110</t>
  </si>
  <si>
    <t>102780</t>
  </si>
  <si>
    <t>102960</t>
  </si>
  <si>
    <t>102970</t>
  </si>
  <si>
    <t>104520</t>
  </si>
  <si>
    <t>104530</t>
  </si>
  <si>
    <t>105190</t>
  </si>
  <si>
    <t>105780</t>
  </si>
  <si>
    <t>108450</t>
  </si>
  <si>
    <t>108590</t>
  </si>
  <si>
    <t>114100</t>
  </si>
  <si>
    <t>114260</t>
  </si>
  <si>
    <t>114470</t>
  </si>
  <si>
    <t>114800</t>
  </si>
  <si>
    <t>114820</t>
  </si>
  <si>
    <t>117460</t>
  </si>
  <si>
    <t>117680</t>
  </si>
  <si>
    <t>117690</t>
  </si>
  <si>
    <t>117700</t>
  </si>
  <si>
    <t>122090</t>
  </si>
  <si>
    <t>122260</t>
  </si>
  <si>
    <t>122630</t>
  </si>
  <si>
    <t>123310</t>
  </si>
  <si>
    <t>123320</t>
  </si>
  <si>
    <t>130680</t>
  </si>
  <si>
    <t>130730</t>
  </si>
  <si>
    <t>131890</t>
  </si>
  <si>
    <t>132030</t>
  </si>
  <si>
    <t>133690</t>
  </si>
  <si>
    <t>136340</t>
  </si>
  <si>
    <t>138230</t>
  </si>
  <si>
    <t>138520</t>
  </si>
  <si>
    <t>138530</t>
  </si>
  <si>
    <t>138540</t>
  </si>
  <si>
    <t>138910</t>
  </si>
  <si>
    <t>138920</t>
  </si>
  <si>
    <t>139220</t>
  </si>
  <si>
    <t>139230</t>
  </si>
  <si>
    <t>139240</t>
  </si>
  <si>
    <t>139250</t>
  </si>
  <si>
    <t>139260</t>
  </si>
  <si>
    <t>139270</t>
  </si>
  <si>
    <t>139280</t>
  </si>
  <si>
    <t>139290</t>
  </si>
  <si>
    <t>139660</t>
  </si>
  <si>
    <t>140570</t>
  </si>
  <si>
    <t>140580</t>
  </si>
  <si>
    <t>140700</t>
  </si>
  <si>
    <t>140710</t>
  </si>
  <si>
    <t>140950</t>
  </si>
  <si>
    <t>143460</t>
  </si>
  <si>
    <t>143850</t>
  </si>
  <si>
    <t>143860</t>
  </si>
  <si>
    <t>144600</t>
  </si>
  <si>
    <t>145670</t>
  </si>
  <si>
    <t>145850</t>
  </si>
  <si>
    <t>147970</t>
  </si>
  <si>
    <t>148020</t>
  </si>
  <si>
    <t>148070</t>
  </si>
  <si>
    <t>150460</t>
  </si>
  <si>
    <t>152100</t>
  </si>
  <si>
    <t>152380</t>
  </si>
  <si>
    <t>152500</t>
  </si>
  <si>
    <t>152870</t>
  </si>
  <si>
    <t>153130</t>
  </si>
  <si>
    <t>156080</t>
  </si>
  <si>
    <t>157450</t>
  </si>
  <si>
    <t>157490</t>
  </si>
  <si>
    <t>157500</t>
  </si>
  <si>
    <t>159800</t>
  </si>
  <si>
    <t>161510</t>
  </si>
  <si>
    <t>166400</t>
  </si>
  <si>
    <t>167860</t>
  </si>
  <si>
    <t>168300</t>
  </si>
  <si>
    <t>168580</t>
  </si>
  <si>
    <t>169950</t>
  </si>
  <si>
    <t>174350</t>
  </si>
  <si>
    <t>174360</t>
  </si>
  <si>
    <t>176950</t>
  </si>
  <si>
    <t>181480</t>
  </si>
  <si>
    <t>182480</t>
  </si>
  <si>
    <t>182490</t>
  </si>
  <si>
    <t>183700</t>
  </si>
  <si>
    <t>183710</t>
  </si>
  <si>
    <t>189400</t>
  </si>
  <si>
    <t>192090</t>
  </si>
  <si>
    <t>192720</t>
  </si>
  <si>
    <t>195920</t>
  </si>
  <si>
    <t>195930</t>
  </si>
  <si>
    <t>195970</t>
  </si>
  <si>
    <t>195980</t>
  </si>
  <si>
    <t>196030</t>
  </si>
  <si>
    <t>196230</t>
  </si>
  <si>
    <t>200250</t>
  </si>
  <si>
    <t>203780</t>
  </si>
  <si>
    <t>204450</t>
  </si>
  <si>
    <t>204480</t>
  </si>
  <si>
    <t>205720</t>
  </si>
  <si>
    <t>210780</t>
  </si>
  <si>
    <t>211560</t>
  </si>
  <si>
    <t>211900</t>
  </si>
  <si>
    <t>213610</t>
  </si>
  <si>
    <t>214980</t>
  </si>
  <si>
    <t>215620</t>
  </si>
  <si>
    <t>217770</t>
  </si>
  <si>
    <t>217780</t>
  </si>
  <si>
    <t>217790</t>
  </si>
  <si>
    <t>219480</t>
  </si>
  <si>
    <t>223190</t>
  </si>
  <si>
    <t>225030</t>
  </si>
  <si>
    <t>225040</t>
  </si>
  <si>
    <t>225050</t>
  </si>
  <si>
    <t>225060</t>
  </si>
  <si>
    <t>225130</t>
  </si>
  <si>
    <t>225800</t>
  </si>
  <si>
    <t>226490</t>
  </si>
  <si>
    <t>226980</t>
  </si>
  <si>
    <t>227540</t>
  </si>
  <si>
    <t>227550</t>
  </si>
  <si>
    <t>227560</t>
  </si>
  <si>
    <t>227570</t>
  </si>
  <si>
    <t>227830</t>
  </si>
  <si>
    <t>228790</t>
  </si>
  <si>
    <t>228800</t>
  </si>
  <si>
    <t>228810</t>
  </si>
  <si>
    <t>228820</t>
  </si>
  <si>
    <t>229200</t>
  </si>
  <si>
    <t>229720</t>
  </si>
  <si>
    <t>230480</t>
  </si>
  <si>
    <t>232080</t>
  </si>
  <si>
    <t>233160</t>
  </si>
  <si>
    <t>233740</t>
  </si>
  <si>
    <t>234310</t>
  </si>
  <si>
    <t>236350</t>
  </si>
  <si>
    <t>237350</t>
  </si>
  <si>
    <t>237370</t>
  </si>
  <si>
    <t>237440</t>
  </si>
  <si>
    <t>238670</t>
  </si>
  <si>
    <t>238720</t>
  </si>
  <si>
    <t>239660</t>
  </si>
  <si>
    <t>241180</t>
  </si>
  <si>
    <t>241390</t>
  </si>
  <si>
    <t>243880</t>
  </si>
  <si>
    <t>243890</t>
  </si>
  <si>
    <t>244580</t>
  </si>
  <si>
    <t>244620</t>
  </si>
  <si>
    <t>244660</t>
  </si>
  <si>
    <t>244670</t>
  </si>
  <si>
    <t>245340</t>
  </si>
  <si>
    <t>245360</t>
  </si>
  <si>
    <t>245710</t>
  </si>
  <si>
    <t>248260</t>
  </si>
  <si>
    <t>248270</t>
  </si>
  <si>
    <t>250730</t>
  </si>
  <si>
    <t>250780</t>
  </si>
  <si>
    <t>251340</t>
  </si>
  <si>
    <t>251350</t>
  </si>
  <si>
    <t>251600</t>
  </si>
  <si>
    <t>252000</t>
  </si>
  <si>
    <t>252400</t>
  </si>
  <si>
    <t>252410</t>
  </si>
  <si>
    <t>252420</t>
  </si>
  <si>
    <t>252670</t>
  </si>
  <si>
    <t>252710</t>
  </si>
  <si>
    <t>252720</t>
  </si>
  <si>
    <t>252730</t>
  </si>
  <si>
    <t>253150</t>
  </si>
  <si>
    <t>253160</t>
  </si>
  <si>
    <t>253230</t>
  </si>
  <si>
    <t>253240</t>
  </si>
  <si>
    <t>253250</t>
  </si>
  <si>
    <t>253280</t>
  </si>
  <si>
    <t>253290</t>
  </si>
  <si>
    <t>261060</t>
  </si>
  <si>
    <t>261070</t>
  </si>
  <si>
    <t>261140</t>
  </si>
  <si>
    <t>261220</t>
  </si>
  <si>
    <t>261240</t>
  </si>
  <si>
    <t>261250</t>
  </si>
  <si>
    <t>261260</t>
  </si>
  <si>
    <t>261270</t>
  </si>
  <si>
    <t>266160</t>
  </si>
  <si>
    <t>267440</t>
  </si>
  <si>
    <t>267450</t>
  </si>
  <si>
    <t>267490</t>
  </si>
  <si>
    <t>267500</t>
  </si>
  <si>
    <t>267770</t>
  </si>
  <si>
    <t>269370</t>
  </si>
  <si>
    <t>269540</t>
  </si>
  <si>
    <t>270800</t>
  </si>
  <si>
    <t>270810</t>
  </si>
  <si>
    <t>271050</t>
  </si>
  <si>
    <t>272220</t>
  </si>
  <si>
    <t>272230</t>
  </si>
  <si>
    <t>272560</t>
  </si>
  <si>
    <t>272570</t>
  </si>
  <si>
    <t>272910</t>
  </si>
  <si>
    <t>273130</t>
  </si>
  <si>
    <t>275280</t>
  </si>
  <si>
    <t>275290</t>
  </si>
  <si>
    <t>275300</t>
  </si>
  <si>
    <t>275750</t>
  </si>
  <si>
    <t>275980</t>
  </si>
  <si>
    <t>276000</t>
  </si>
  <si>
    <t>277630</t>
  </si>
  <si>
    <t>277640</t>
  </si>
  <si>
    <t>277650</t>
  </si>
  <si>
    <t>278240</t>
  </si>
  <si>
    <t>278530</t>
  </si>
  <si>
    <t>278540</t>
  </si>
  <si>
    <t>278620</t>
  </si>
  <si>
    <t>280920</t>
  </si>
  <si>
    <t>280930</t>
  </si>
  <si>
    <t>280940</t>
  </si>
  <si>
    <t>281990</t>
  </si>
  <si>
    <t>282000</t>
  </si>
  <si>
    <t>284980</t>
  </si>
  <si>
    <t>284990</t>
  </si>
  <si>
    <t>285000</t>
  </si>
  <si>
    <t>285010</t>
  </si>
  <si>
    <t>285020</t>
  </si>
  <si>
    <t>287300</t>
  </si>
  <si>
    <t>287310</t>
  </si>
  <si>
    <t>287320</t>
  </si>
  <si>
    <t>287330</t>
  </si>
  <si>
    <t>289250</t>
  </si>
  <si>
    <t>289260</t>
  </si>
  <si>
    <t>290080</t>
  </si>
  <si>
    <t>290130</t>
  </si>
  <si>
    <t>291620</t>
  </si>
  <si>
    <t>291630</t>
  </si>
  <si>
    <t>291680</t>
  </si>
  <si>
    <t>291890</t>
  </si>
  <si>
    <t>292050</t>
  </si>
  <si>
    <t>292150</t>
  </si>
  <si>
    <t>292160</t>
  </si>
  <si>
    <t>292190</t>
  </si>
  <si>
    <t>292500</t>
  </si>
  <si>
    <t>292560</t>
  </si>
  <si>
    <t>292730</t>
  </si>
  <si>
    <t>292750</t>
  </si>
  <si>
    <t>292770</t>
  </si>
  <si>
    <t>293180</t>
  </si>
  <si>
    <t>294400</t>
  </si>
  <si>
    <t>295000</t>
  </si>
  <si>
    <t>295020</t>
  </si>
  <si>
    <t>295040</t>
  </si>
  <si>
    <t>295820</t>
  </si>
  <si>
    <t>300610</t>
  </si>
  <si>
    <t>300640</t>
  </si>
  <si>
    <t>300950</t>
  </si>
  <si>
    <t>301410</t>
  </si>
  <si>
    <t>302190</t>
  </si>
  <si>
    <t>302450</t>
  </si>
  <si>
    <t>304660</t>
  </si>
  <si>
    <t>304670</t>
  </si>
  <si>
    <t>304760</t>
  </si>
  <si>
    <t>304770</t>
  </si>
  <si>
    <t>304780</t>
  </si>
  <si>
    <t>304940</t>
  </si>
  <si>
    <t>305050</t>
  </si>
  <si>
    <t>305080</t>
  </si>
  <si>
    <t>305540</t>
  </si>
  <si>
    <t>305720</t>
  </si>
  <si>
    <t>306520</t>
  </si>
  <si>
    <t>306530</t>
  </si>
  <si>
    <t>306950</t>
  </si>
  <si>
    <t>307010</t>
  </si>
  <si>
    <t>307510</t>
  </si>
  <si>
    <t>307520</t>
  </si>
  <si>
    <t>308620</t>
  </si>
  <si>
    <t>310080</t>
  </si>
  <si>
    <t>310960</t>
  </si>
  <si>
    <t>310970</t>
  </si>
  <si>
    <t>314250</t>
  </si>
  <si>
    <t>315270</t>
  </si>
  <si>
    <t>315480</t>
  </si>
  <si>
    <t>315930</t>
  </si>
  <si>
    <t>315960</t>
  </si>
  <si>
    <t>319640</t>
  </si>
  <si>
    <t>319870</t>
  </si>
  <si>
    <t>321410</t>
  </si>
  <si>
    <t>322120</t>
  </si>
  <si>
    <t>322130</t>
  </si>
  <si>
    <t>322150</t>
  </si>
  <si>
    <t>322400</t>
  </si>
  <si>
    <t>322410</t>
  </si>
  <si>
    <t>325010</t>
  </si>
  <si>
    <t>325020</t>
  </si>
  <si>
    <t>326230</t>
  </si>
  <si>
    <t>326240</t>
  </si>
  <si>
    <t>328370</t>
  </si>
  <si>
    <t>329200</t>
  </si>
  <si>
    <t>332500</t>
  </si>
  <si>
    <t>332930</t>
  </si>
  <si>
    <t>332940</t>
  </si>
  <si>
    <t>333940</t>
  </si>
  <si>
    <t>333950</t>
  </si>
  <si>
    <t>333960</t>
  </si>
  <si>
    <t>333970</t>
  </si>
  <si>
    <t>333980</t>
  </si>
  <si>
    <t>334690</t>
  </si>
  <si>
    <t>334700</t>
  </si>
  <si>
    <t>336160</t>
  </si>
  <si>
    <t>341850</t>
  </si>
  <si>
    <t>354240</t>
  </si>
  <si>
    <t>354350</t>
  </si>
  <si>
    <t>354500</t>
  </si>
  <si>
    <t>357870</t>
  </si>
  <si>
    <t>360140</t>
  </si>
  <si>
    <t>360150</t>
  </si>
  <si>
    <t>360200</t>
  </si>
  <si>
    <t>360750</t>
  </si>
  <si>
    <t>361580</t>
  </si>
  <si>
    <t>361590</t>
  </si>
  <si>
    <t>364960</t>
  </si>
  <si>
    <t>364970</t>
  </si>
  <si>
    <t>364980</t>
  </si>
  <si>
    <t>364990</t>
  </si>
  <si>
    <t>365000</t>
  </si>
  <si>
    <t>365040</t>
  </si>
  <si>
    <t>365780</t>
  </si>
  <si>
    <t>367380</t>
  </si>
  <si>
    <t>367740</t>
  </si>
  <si>
    <t>367760</t>
  </si>
  <si>
    <t>367770</t>
  </si>
  <si>
    <t>368190</t>
  </si>
  <si>
    <t>368200</t>
  </si>
  <si>
    <t>368470</t>
  </si>
  <si>
    <t>368590</t>
  </si>
  <si>
    <t>368680</t>
  </si>
  <si>
    <t>371150</t>
  </si>
  <si>
    <t>371160</t>
  </si>
  <si>
    <t>371450</t>
  </si>
  <si>
    <t>371460</t>
  </si>
  <si>
    <t>371470</t>
  </si>
  <si>
    <t>371870</t>
  </si>
  <si>
    <t>372330</t>
  </si>
  <si>
    <t>373790</t>
  </si>
  <si>
    <t>375760</t>
  </si>
  <si>
    <t>375770</t>
  </si>
  <si>
    <t>376410</t>
  </si>
  <si>
    <t>379780</t>
  </si>
  <si>
    <t>379790</t>
  </si>
  <si>
    <t>379800</t>
  </si>
  <si>
    <t>379810</t>
  </si>
  <si>
    <t>381180</t>
  </si>
  <si>
    <t>381560</t>
  </si>
  <si>
    <t>381570</t>
  </si>
  <si>
    <t>385540</t>
  </si>
  <si>
    <t>385550</t>
  </si>
  <si>
    <t>385560</t>
  </si>
  <si>
    <t>385710</t>
  </si>
  <si>
    <t>385720</t>
  </si>
  <si>
    <t>388280</t>
  </si>
  <si>
    <t>388420</t>
  </si>
  <si>
    <t>390950</t>
  </si>
  <si>
    <t>391680</t>
  </si>
  <si>
    <t>394340</t>
  </si>
  <si>
    <t>394350</t>
  </si>
  <si>
    <t>394660</t>
  </si>
  <si>
    <t>394670</t>
  </si>
  <si>
    <t>395150</t>
  </si>
  <si>
    <t>395160</t>
  </si>
  <si>
    <t>395170</t>
  </si>
  <si>
    <t>395270</t>
  </si>
  <si>
    <t>395280</t>
  </si>
  <si>
    <t>395290</t>
  </si>
  <si>
    <t>395750</t>
  </si>
  <si>
    <t>395760</t>
  </si>
  <si>
    <t>396500</t>
  </si>
  <si>
    <t>396510</t>
  </si>
  <si>
    <t>396520</t>
  </si>
  <si>
    <t>397410</t>
  </si>
  <si>
    <t>397420</t>
  </si>
  <si>
    <t>399110</t>
  </si>
  <si>
    <t>399580</t>
  </si>
  <si>
    <t>400570</t>
  </si>
  <si>
    <t>400970</t>
  </si>
  <si>
    <t>401170</t>
  </si>
  <si>
    <t>401470</t>
  </si>
  <si>
    <t>402460</t>
  </si>
  <si>
    <t>402970</t>
  </si>
  <si>
    <t>403990</t>
  </si>
  <si>
    <t>404120</t>
  </si>
  <si>
    <t>404260</t>
  </si>
  <si>
    <t>404470</t>
  </si>
  <si>
    <t>404540</t>
  </si>
  <si>
    <t>407300</t>
  </si>
  <si>
    <t>407310</t>
  </si>
  <si>
    <t>407820</t>
  </si>
  <si>
    <t>407830</t>
  </si>
  <si>
    <t>409810</t>
  </si>
  <si>
    <t>409820</t>
  </si>
  <si>
    <t>410870</t>
  </si>
  <si>
    <t>411540</t>
  </si>
  <si>
    <t>411720</t>
  </si>
  <si>
    <t>411860</t>
  </si>
  <si>
    <t>412770</t>
  </si>
  <si>
    <t>414780</t>
  </si>
  <si>
    <t>415340</t>
  </si>
  <si>
    <t>417450</t>
  </si>
  <si>
    <t>417630</t>
  </si>
  <si>
    <t>418660</t>
  </si>
  <si>
    <t>419420</t>
  </si>
  <si>
    <t>419430</t>
  </si>
  <si>
    <t>421320</t>
  </si>
  <si>
    <t>422420</t>
  </si>
  <si>
    <t>현재
스프레드 호가</t>
    <phoneticPr fontId="2" type="noConversion"/>
  </si>
  <si>
    <t>현재가</t>
    <phoneticPr fontId="2" type="noConversion"/>
  </si>
  <si>
    <t>기준 초과</t>
    <phoneticPr fontId="2" type="noConversion"/>
  </si>
  <si>
    <t>알람</t>
    <phoneticPr fontId="2" type="noConversion"/>
  </si>
  <si>
    <t>기준 초과</t>
    <phoneticPr fontId="2" type="noConversion"/>
  </si>
  <si>
    <t>단축코드</t>
    <phoneticPr fontId="2" type="noConversion"/>
  </si>
  <si>
    <t>종목명</t>
    <phoneticPr fontId="2" type="noConversion"/>
  </si>
  <si>
    <t>신고 호가</t>
    <phoneticPr fontId="2" type="noConversion"/>
  </si>
  <si>
    <t>현재 호가</t>
    <phoneticPr fontId="2" type="noConversion"/>
  </si>
  <si>
    <t>초과 정도</t>
    <phoneticPr fontId="2" type="noConversion"/>
  </si>
  <si>
    <t>마지막 초과 시간</t>
    <phoneticPr fontId="2" type="noConversion"/>
  </si>
  <si>
    <t>스프레드 초과 종목코드</t>
    <phoneticPr fontId="2" type="noConversion"/>
  </si>
  <si>
    <t>스프레드 초과 종목명</t>
    <phoneticPr fontId="2" type="noConversion"/>
  </si>
  <si>
    <t>처음 초과 시간</t>
    <phoneticPr fontId="2" type="noConversion"/>
  </si>
  <si>
    <t>총 경과 시간 (분)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</si>
</sst>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0.00%&quot;p&quot;"/>
    <numFmt numFmtId="178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>
      <alignment vertical="center"/>
    </xf>
    <xf numFmtId="176" fontId="4" fillId="0" borderId="0" xfId="1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10" fontId="4" fillId="0" borderId="0" xfId="2" applyNumberFormat="1" applyFont="1">
      <alignment vertical="center"/>
    </xf>
    <xf numFmtId="0" fontId="3" fillId="2" borderId="0" xfId="0" applyFon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 vertical="center"/>
    </xf>
    <xf numFmtId="21" fontId="4" fillId="0" borderId="0" xfId="0" quotePrefix="1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178" fontId="4" fillId="0" borderId="0" xfId="0" quotePrefix="1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21" fontId="7" fillId="0" borderId="0" xfId="0" applyNumberFormat="1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33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4840;&#44032;%20&#49828;&#54532;&#47112;&#46300;%20&#52488;&#44284;%20&#54869;&#51064;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신고 스프레드 확인"/>
      <sheetName val="기록"/>
      <sheetName val="1시간 이상 초과"/>
    </sheetNames>
    <sheetDataSet>
      <sheetData sheetId="0">
        <row r="2">
          <cell r="A2" t="str">
            <v>069500</v>
          </cell>
          <cell r="B2" t="str">
            <v>KODEX 200</v>
          </cell>
        </row>
        <row r="3">
          <cell r="A3" t="str">
            <v>069660</v>
          </cell>
          <cell r="B3" t="str">
            <v>KOSEF 200</v>
          </cell>
        </row>
        <row r="4">
          <cell r="A4" t="str">
            <v>091160</v>
          </cell>
          <cell r="B4" t="str">
            <v>KODEX 반도체</v>
          </cell>
        </row>
        <row r="5">
          <cell r="A5" t="str">
            <v>091170</v>
          </cell>
          <cell r="B5" t="str">
            <v>KODEX 은행</v>
          </cell>
        </row>
        <row r="6">
          <cell r="A6" t="str">
            <v>091180</v>
          </cell>
          <cell r="B6" t="str">
            <v>KODEX 자동차</v>
          </cell>
        </row>
        <row r="7">
          <cell r="A7" t="str">
            <v>091220</v>
          </cell>
          <cell r="B7" t="str">
            <v>TIGER 은행</v>
          </cell>
        </row>
        <row r="8">
          <cell r="A8" t="str">
            <v>091230</v>
          </cell>
          <cell r="B8" t="str">
            <v>TIGER 반도체</v>
          </cell>
        </row>
        <row r="9">
          <cell r="A9" t="str">
            <v>098560</v>
          </cell>
          <cell r="B9" t="str">
            <v>TIGER 방송통신</v>
          </cell>
        </row>
        <row r="10">
          <cell r="A10" t="str">
            <v>099140</v>
          </cell>
          <cell r="B10" t="str">
            <v>KODEX 차이나H</v>
          </cell>
        </row>
        <row r="11">
          <cell r="A11" t="str">
            <v>100910</v>
          </cell>
          <cell r="B11" t="str">
            <v>KOSEF KRX100</v>
          </cell>
        </row>
        <row r="12">
          <cell r="A12" t="str">
            <v>102110</v>
          </cell>
          <cell r="B12" t="str">
            <v>TIGER 200</v>
          </cell>
        </row>
        <row r="13">
          <cell r="A13" t="str">
            <v>102780</v>
          </cell>
          <cell r="B13" t="str">
            <v>KODEX 삼성그룹</v>
          </cell>
        </row>
        <row r="14">
          <cell r="A14" t="str">
            <v>102960</v>
          </cell>
          <cell r="B14" t="str">
            <v>KODEX 기계장비</v>
          </cell>
        </row>
        <row r="15">
          <cell r="A15" t="str">
            <v>102970</v>
          </cell>
          <cell r="B15" t="str">
            <v>KODEX 증권</v>
          </cell>
        </row>
        <row r="16">
          <cell r="A16" t="str">
            <v>104520</v>
          </cell>
          <cell r="B16" t="str">
            <v>KOSEF 블루칩</v>
          </cell>
        </row>
        <row r="17">
          <cell r="A17" t="str">
            <v>104530</v>
          </cell>
          <cell r="B17" t="str">
            <v>KOSEF 고배당</v>
          </cell>
        </row>
        <row r="18">
          <cell r="A18" t="str">
            <v>105190</v>
          </cell>
          <cell r="B18" t="str">
            <v>KINDEX 200</v>
          </cell>
        </row>
        <row r="19">
          <cell r="A19" t="str">
            <v>105780</v>
          </cell>
          <cell r="B19" t="str">
            <v>KBSTAR 5대그룹주</v>
          </cell>
        </row>
        <row r="20">
          <cell r="A20" t="str">
            <v>108450</v>
          </cell>
          <cell r="B20" t="str">
            <v>KINDEX 삼성그룹섹터가중</v>
          </cell>
        </row>
        <row r="21">
          <cell r="A21" t="str">
            <v>108590</v>
          </cell>
          <cell r="B21" t="str">
            <v>TREX 200</v>
          </cell>
        </row>
        <row r="22">
          <cell r="A22" t="str">
            <v>114100</v>
          </cell>
          <cell r="B22" t="str">
            <v>KBSTAR 국고채3년</v>
          </cell>
        </row>
        <row r="23">
          <cell r="A23" t="str">
            <v>114260</v>
          </cell>
          <cell r="B23" t="str">
            <v>KODEX 국고채3년</v>
          </cell>
        </row>
        <row r="24">
          <cell r="A24" t="str">
            <v>114470</v>
          </cell>
          <cell r="B24" t="str">
            <v>KOSEF 국고채3년</v>
          </cell>
        </row>
        <row r="25">
          <cell r="A25" t="str">
            <v>114800</v>
          </cell>
          <cell r="B25" t="str">
            <v>KODEX 인버스</v>
          </cell>
        </row>
        <row r="26">
          <cell r="A26" t="str">
            <v>114820</v>
          </cell>
          <cell r="B26" t="str">
            <v>TIGER 국채3년</v>
          </cell>
        </row>
        <row r="27">
          <cell r="A27" t="str">
            <v>117460</v>
          </cell>
          <cell r="B27" t="str">
            <v>KODEX 에너지화학</v>
          </cell>
        </row>
        <row r="28">
          <cell r="A28" t="str">
            <v>117680</v>
          </cell>
          <cell r="B28" t="str">
            <v>KODEX 철강</v>
          </cell>
        </row>
        <row r="29">
          <cell r="A29" t="str">
            <v>117690</v>
          </cell>
          <cell r="B29" t="str">
            <v>TIGER 차이나항셍25</v>
          </cell>
        </row>
        <row r="30">
          <cell r="A30" t="str">
            <v>117700</v>
          </cell>
          <cell r="B30" t="str">
            <v>KODEX 건설</v>
          </cell>
        </row>
        <row r="31">
          <cell r="A31" t="str">
            <v>122090</v>
          </cell>
          <cell r="B31" t="str">
            <v>ARIRANG 코스피50</v>
          </cell>
        </row>
        <row r="32">
          <cell r="A32" t="str">
            <v>122260</v>
          </cell>
          <cell r="B32" t="str">
            <v>KOSEF 통안채1년</v>
          </cell>
        </row>
        <row r="33">
          <cell r="A33" t="str">
            <v>122630</v>
          </cell>
          <cell r="B33" t="str">
            <v>KODEX 레버리지</v>
          </cell>
        </row>
        <row r="34">
          <cell r="A34" t="str">
            <v>123310</v>
          </cell>
          <cell r="B34" t="str">
            <v>TIGER 인버스</v>
          </cell>
        </row>
        <row r="35">
          <cell r="A35" t="str">
            <v>123320</v>
          </cell>
          <cell r="B35" t="str">
            <v>TIGER 레버리지</v>
          </cell>
        </row>
        <row r="36">
          <cell r="A36" t="str">
            <v>130680</v>
          </cell>
          <cell r="B36" t="str">
            <v>TIGER 원유선물Enhanced(H)</v>
          </cell>
        </row>
        <row r="37">
          <cell r="A37" t="str">
            <v>130730</v>
          </cell>
          <cell r="B37" t="str">
            <v>KOSEF 단기자금</v>
          </cell>
        </row>
        <row r="38">
          <cell r="A38" t="str">
            <v>131890</v>
          </cell>
          <cell r="B38" t="str">
            <v>KINDEX 삼성그룹동일가중</v>
          </cell>
        </row>
        <row r="39">
          <cell r="A39" t="str">
            <v>132030</v>
          </cell>
          <cell r="B39" t="str">
            <v>KODEX 골드선물(H)</v>
          </cell>
        </row>
        <row r="40">
          <cell r="A40" t="str">
            <v>133690</v>
          </cell>
          <cell r="B40" t="str">
            <v>TIGER 미국나스닥100</v>
          </cell>
        </row>
        <row r="41">
          <cell r="A41" t="str">
            <v>136340</v>
          </cell>
          <cell r="B41" t="str">
            <v>KBSTAR 중기우량회사채</v>
          </cell>
        </row>
        <row r="42">
          <cell r="A42" t="str">
            <v>138230</v>
          </cell>
          <cell r="B42" t="str">
            <v>KOSEF 미국달러선물</v>
          </cell>
        </row>
        <row r="43">
          <cell r="A43" t="str">
            <v>138520</v>
          </cell>
          <cell r="B43" t="str">
            <v>TIGER 삼성그룹펀더멘털</v>
          </cell>
        </row>
        <row r="44">
          <cell r="A44" t="str">
            <v>138530</v>
          </cell>
          <cell r="B44" t="str">
            <v>TIGER LG그룹+펀더멘털</v>
          </cell>
        </row>
        <row r="45">
          <cell r="A45" t="str">
            <v>138540</v>
          </cell>
          <cell r="B45" t="str">
            <v>TIGER 현대차그룹+펀더멘털</v>
          </cell>
        </row>
        <row r="46">
          <cell r="A46" t="str">
            <v>138910</v>
          </cell>
          <cell r="B46" t="str">
            <v>KODEX 구리선물(H)</v>
          </cell>
        </row>
        <row r="47">
          <cell r="A47" t="str">
            <v>138920</v>
          </cell>
          <cell r="B47" t="str">
            <v>KODEX 콩선물(H)</v>
          </cell>
        </row>
        <row r="48">
          <cell r="A48" t="str">
            <v>139220</v>
          </cell>
          <cell r="B48" t="str">
            <v>TIGER 200 건설</v>
          </cell>
        </row>
        <row r="49">
          <cell r="A49" t="str">
            <v>139230</v>
          </cell>
          <cell r="B49" t="str">
            <v>TIGER 200 중공업</v>
          </cell>
        </row>
        <row r="50">
          <cell r="A50" t="str">
            <v>139240</v>
          </cell>
          <cell r="B50" t="str">
            <v>TIGER 200 철강소재</v>
          </cell>
        </row>
        <row r="51">
          <cell r="A51" t="str">
            <v>139250</v>
          </cell>
          <cell r="B51" t="str">
            <v>TIGER 200 에너지화학</v>
          </cell>
        </row>
        <row r="52">
          <cell r="A52" t="str">
            <v>139260</v>
          </cell>
          <cell r="B52" t="str">
            <v>TIGER 200 IT</v>
          </cell>
        </row>
        <row r="53">
          <cell r="A53" t="str">
            <v>139270</v>
          </cell>
          <cell r="B53" t="str">
            <v>TIGER 200 금융</v>
          </cell>
        </row>
        <row r="54">
          <cell r="A54" t="str">
            <v>139280</v>
          </cell>
          <cell r="B54" t="str">
            <v>TIGER 경기방어</v>
          </cell>
        </row>
        <row r="55">
          <cell r="A55" t="str">
            <v>139290</v>
          </cell>
          <cell r="B55" t="str">
            <v>TIGER 200 경기소비재</v>
          </cell>
        </row>
        <row r="56">
          <cell r="A56" t="str">
            <v>139660</v>
          </cell>
          <cell r="B56" t="str">
            <v>KOSEF 미국달러선물인버스</v>
          </cell>
        </row>
        <row r="57">
          <cell r="A57" t="str">
            <v>140570</v>
          </cell>
          <cell r="B57" t="str">
            <v>KBSTAR 수출주</v>
          </cell>
        </row>
        <row r="58">
          <cell r="A58" t="str">
            <v>140580</v>
          </cell>
          <cell r="B58" t="str">
            <v>KBSTAR 우량업종</v>
          </cell>
        </row>
        <row r="59">
          <cell r="A59" t="str">
            <v>140700</v>
          </cell>
          <cell r="B59" t="str">
            <v>KODEX 보험</v>
          </cell>
        </row>
        <row r="60">
          <cell r="A60" t="str">
            <v>140710</v>
          </cell>
          <cell r="B60" t="str">
            <v>KODEX 운송</v>
          </cell>
        </row>
        <row r="61">
          <cell r="A61" t="str">
            <v>140950</v>
          </cell>
          <cell r="B61" t="str">
            <v>파워 코스피100</v>
          </cell>
        </row>
        <row r="62">
          <cell r="A62" t="str">
            <v>143460</v>
          </cell>
          <cell r="B62" t="str">
            <v>KINDEX 밸류대형</v>
          </cell>
        </row>
        <row r="63">
          <cell r="A63" t="str">
            <v>143850</v>
          </cell>
          <cell r="B63" t="str">
            <v>TIGER 미국S&amp;P500선물(H)</v>
          </cell>
        </row>
        <row r="64">
          <cell r="A64" t="str">
            <v>143860</v>
          </cell>
          <cell r="B64" t="str">
            <v>TIGER 헬스케어</v>
          </cell>
        </row>
        <row r="65">
          <cell r="A65" t="str">
            <v>144600</v>
          </cell>
          <cell r="B65" t="str">
            <v>KODEX 은선물(H)</v>
          </cell>
        </row>
        <row r="66">
          <cell r="A66" t="str">
            <v>145670</v>
          </cell>
          <cell r="B66" t="str">
            <v>KINDEX 인버스</v>
          </cell>
        </row>
        <row r="67">
          <cell r="A67" t="str">
            <v>145850</v>
          </cell>
          <cell r="B67" t="str">
            <v>TREX 펀더멘탈 200</v>
          </cell>
        </row>
        <row r="68">
          <cell r="A68" t="str">
            <v>147970</v>
          </cell>
          <cell r="B68" t="str">
            <v>TIGER 모멘텀</v>
          </cell>
        </row>
        <row r="69">
          <cell r="A69" t="str">
            <v>148020</v>
          </cell>
          <cell r="B69" t="str">
            <v>KBSTAR 200</v>
          </cell>
        </row>
        <row r="70">
          <cell r="A70" t="str">
            <v>148070</v>
          </cell>
          <cell r="B70" t="str">
            <v>KOSEF 국고채10년</v>
          </cell>
        </row>
        <row r="71">
          <cell r="A71" t="str">
            <v>150460</v>
          </cell>
          <cell r="B71" t="str">
            <v>TIGER 중국소비테마</v>
          </cell>
        </row>
        <row r="72">
          <cell r="A72" t="str">
            <v>152100</v>
          </cell>
          <cell r="B72" t="str">
            <v>ARIRANG 200</v>
          </cell>
        </row>
        <row r="73">
          <cell r="A73" t="str">
            <v>152380</v>
          </cell>
          <cell r="B73" t="str">
            <v>KODEX 국채선물10년</v>
          </cell>
        </row>
        <row r="74">
          <cell r="A74" t="str">
            <v>152500</v>
          </cell>
          <cell r="B74" t="str">
            <v>KINDEX 레버리지</v>
          </cell>
        </row>
        <row r="75">
          <cell r="A75" t="str">
            <v>152870</v>
          </cell>
          <cell r="B75" t="str">
            <v>파워 200</v>
          </cell>
        </row>
        <row r="76">
          <cell r="A76" t="str">
            <v>153130</v>
          </cell>
          <cell r="B76" t="str">
            <v>KODEX 단기채권</v>
          </cell>
        </row>
        <row r="77">
          <cell r="A77" t="str">
            <v>156080</v>
          </cell>
          <cell r="B77" t="str">
            <v>KODEX MSCI Korea</v>
          </cell>
        </row>
        <row r="78">
          <cell r="A78" t="str">
            <v>157450</v>
          </cell>
          <cell r="B78" t="str">
            <v>TIGER 단기통안채</v>
          </cell>
        </row>
        <row r="79">
          <cell r="A79" t="str">
            <v>157490</v>
          </cell>
          <cell r="B79" t="str">
            <v>TIGER 소프트웨어</v>
          </cell>
        </row>
        <row r="80">
          <cell r="A80" t="str">
            <v>157500</v>
          </cell>
          <cell r="B80" t="str">
            <v>TIGER 증권</v>
          </cell>
        </row>
        <row r="81">
          <cell r="A81" t="str">
            <v>159800</v>
          </cell>
          <cell r="B81" t="str">
            <v>마이티 코스피100</v>
          </cell>
        </row>
        <row r="82">
          <cell r="A82" t="str">
            <v>161510</v>
          </cell>
          <cell r="B82" t="str">
            <v>ARIRANG 고배당주</v>
          </cell>
        </row>
        <row r="83">
          <cell r="A83" t="str">
            <v>166400</v>
          </cell>
          <cell r="B83" t="str">
            <v>TIGER 200커버드콜5%OTM</v>
          </cell>
        </row>
        <row r="84">
          <cell r="A84" t="str">
            <v>167860</v>
          </cell>
          <cell r="B84" t="str">
            <v>KOSEF 국고채10년레버리지</v>
          </cell>
        </row>
        <row r="85">
          <cell r="A85" t="str">
            <v>168300</v>
          </cell>
          <cell r="B85" t="str">
            <v>KTOP 코스피50</v>
          </cell>
        </row>
        <row r="86">
          <cell r="A86" t="str">
            <v>168580</v>
          </cell>
          <cell r="B86" t="str">
            <v>KINDEX 중국본토CSI300</v>
          </cell>
        </row>
        <row r="87">
          <cell r="A87" t="str">
            <v>169950</v>
          </cell>
          <cell r="B87" t="str">
            <v>KODEX 차이나A50</v>
          </cell>
        </row>
        <row r="88">
          <cell r="A88" t="str">
            <v>174350</v>
          </cell>
          <cell r="B88" t="str">
            <v>TIGER 로우볼</v>
          </cell>
        </row>
        <row r="89">
          <cell r="A89" t="str">
            <v>174360</v>
          </cell>
          <cell r="B89" t="str">
            <v>KBSTAR 중국본토대형주CSI100</v>
          </cell>
        </row>
        <row r="90">
          <cell r="A90" t="str">
            <v>176950</v>
          </cell>
          <cell r="B90" t="str">
            <v>KODEX 국채선물10년인버스</v>
          </cell>
        </row>
        <row r="91">
          <cell r="A91" t="str">
            <v>181480</v>
          </cell>
          <cell r="B91" t="str">
            <v>KINDEX 미국다우존스리츠(합성 H)</v>
          </cell>
        </row>
        <row r="92">
          <cell r="A92" t="str">
            <v>182480</v>
          </cell>
          <cell r="B92" t="str">
            <v>TIGER 미국MSCI리츠(합성 H)</v>
          </cell>
        </row>
        <row r="93">
          <cell r="A93" t="str">
            <v>182490</v>
          </cell>
          <cell r="B93" t="str">
            <v>TIGER 단기선진하이일드(합성 H)</v>
          </cell>
        </row>
        <row r="94">
          <cell r="A94" t="str">
            <v>183700</v>
          </cell>
          <cell r="B94" t="str">
            <v>KBSTAR 채권혼합</v>
          </cell>
        </row>
        <row r="95">
          <cell r="A95" t="str">
            <v>183710</v>
          </cell>
          <cell r="B95" t="str">
            <v>KBSTAR 주식혼합</v>
          </cell>
        </row>
        <row r="96">
          <cell r="A96" t="str">
            <v>189400</v>
          </cell>
          <cell r="B96" t="str">
            <v>ARIRANG 글로벌MSCI(합성 H)</v>
          </cell>
        </row>
        <row r="97">
          <cell r="A97" t="str">
            <v>192090</v>
          </cell>
          <cell r="B97" t="str">
            <v>TIGER 차이나CSI300</v>
          </cell>
        </row>
        <row r="98">
          <cell r="A98" t="str">
            <v>192720</v>
          </cell>
          <cell r="B98" t="str">
            <v>파워 고배당저변동성</v>
          </cell>
        </row>
        <row r="99">
          <cell r="A99" t="str">
            <v>195920</v>
          </cell>
          <cell r="B99" t="str">
            <v>TIGER 일본TOPIX(합성 H)</v>
          </cell>
        </row>
        <row r="100">
          <cell r="A100" t="str">
            <v>195930</v>
          </cell>
          <cell r="B100" t="str">
            <v>TIGER 유로스탁스50(합성 H)</v>
          </cell>
        </row>
        <row r="101">
          <cell r="A101" t="str">
            <v>195970</v>
          </cell>
          <cell r="B101" t="str">
            <v>ARIRANG 선진국MSCI(합성 H)</v>
          </cell>
        </row>
        <row r="102">
          <cell r="A102" t="str">
            <v>195980</v>
          </cell>
          <cell r="B102" t="str">
            <v>ARIRANG 신흥국MSCI(합성 H)</v>
          </cell>
        </row>
        <row r="103">
          <cell r="A103" t="str">
            <v>196030</v>
          </cell>
          <cell r="B103" t="str">
            <v>KINDEX 일본TOPIX레버리지(H)</v>
          </cell>
        </row>
        <row r="104">
          <cell r="A104" t="str">
            <v>196230</v>
          </cell>
          <cell r="B104" t="str">
            <v>KBSTAR 단기통안채</v>
          </cell>
        </row>
        <row r="105">
          <cell r="A105" t="str">
            <v>200250</v>
          </cell>
          <cell r="B105" t="str">
            <v>KOSEF 인도Nifty50(합성)</v>
          </cell>
        </row>
        <row r="106">
          <cell r="A106" t="str">
            <v>203780</v>
          </cell>
          <cell r="B106" t="str">
            <v>TIGER 미국나스닥바이오</v>
          </cell>
        </row>
        <row r="107">
          <cell r="A107" t="str">
            <v>204450</v>
          </cell>
          <cell r="B107" t="str">
            <v>KODEX 차이나H레버리지(H)</v>
          </cell>
        </row>
        <row r="108">
          <cell r="A108" t="str">
            <v>204480</v>
          </cell>
          <cell r="B108" t="str">
            <v>TIGER 차이나CSI300레버리지(합성)</v>
          </cell>
        </row>
        <row r="109">
          <cell r="A109" t="str">
            <v>205720</v>
          </cell>
          <cell r="B109" t="str">
            <v>KINDEX 일본TOPIX인버스(합성 H)</v>
          </cell>
        </row>
        <row r="110">
          <cell r="A110" t="str">
            <v>210780</v>
          </cell>
          <cell r="B110" t="str">
            <v>TIGER 코스피고배당</v>
          </cell>
        </row>
        <row r="111">
          <cell r="A111" t="str">
            <v>211560</v>
          </cell>
          <cell r="B111" t="str">
            <v>TIGER 배당성장</v>
          </cell>
        </row>
        <row r="112">
          <cell r="A112" t="str">
            <v>211900</v>
          </cell>
          <cell r="B112" t="str">
            <v>KODEX 배당성장</v>
          </cell>
        </row>
        <row r="113">
          <cell r="A113" t="str">
            <v>213610</v>
          </cell>
          <cell r="B113" t="str">
            <v>KODEX 삼성그룹밸류</v>
          </cell>
        </row>
        <row r="114">
          <cell r="A114" t="str">
            <v>214980</v>
          </cell>
          <cell r="B114" t="str">
            <v>KODEX 단기채권PLUS</v>
          </cell>
        </row>
        <row r="115">
          <cell r="A115" t="str">
            <v>215620</v>
          </cell>
          <cell r="B115" t="str">
            <v>HK S&amp;P코리아로우볼</v>
          </cell>
        </row>
        <row r="116">
          <cell r="A116" t="str">
            <v>217770</v>
          </cell>
          <cell r="B116" t="str">
            <v>TIGER 원유선물인버스(H)</v>
          </cell>
        </row>
        <row r="117">
          <cell r="A117" t="str">
            <v>217780</v>
          </cell>
          <cell r="B117" t="str">
            <v>TIGER 차이나CSI300인버스(합성)</v>
          </cell>
        </row>
        <row r="118">
          <cell r="A118" t="str">
            <v>217790</v>
          </cell>
          <cell r="B118" t="str">
            <v>TIGER 가격조정</v>
          </cell>
        </row>
        <row r="119">
          <cell r="A119" t="str">
            <v>219480</v>
          </cell>
          <cell r="B119" t="str">
            <v>KODEX 미국S&amp;P500선물(H)</v>
          </cell>
        </row>
        <row r="120">
          <cell r="A120" t="str">
            <v>223190</v>
          </cell>
          <cell r="B120" t="str">
            <v>KODEX 200가치저변동</v>
          </cell>
        </row>
        <row r="121">
          <cell r="A121" t="str">
            <v>225030</v>
          </cell>
          <cell r="B121" t="str">
            <v>TIGER 미국S&amp;P500선물인버스(H)</v>
          </cell>
        </row>
        <row r="122">
          <cell r="A122" t="str">
            <v>225040</v>
          </cell>
          <cell r="B122" t="str">
            <v>TIGER 미국S&amp;P500레버리지(합성 H)</v>
          </cell>
        </row>
        <row r="123">
          <cell r="A123" t="str">
            <v>225050</v>
          </cell>
          <cell r="B123" t="str">
            <v>TIGER 유로스탁스레버리지(합성 H)</v>
          </cell>
        </row>
        <row r="124">
          <cell r="A124" t="str">
            <v>225060</v>
          </cell>
          <cell r="B124" t="str">
            <v>TIGER 이머징마켓MSCI레버리지(합성 H)</v>
          </cell>
        </row>
        <row r="125">
          <cell r="A125" t="str">
            <v>225130</v>
          </cell>
          <cell r="B125" t="str">
            <v>KINDEX 골드선물 레버리지(합성 H)</v>
          </cell>
        </row>
        <row r="126">
          <cell r="A126" t="str">
            <v>225800</v>
          </cell>
          <cell r="B126" t="str">
            <v>KOSEF 미국달러선물레버리지</v>
          </cell>
        </row>
        <row r="127">
          <cell r="A127" t="str">
            <v>226490</v>
          </cell>
          <cell r="B127" t="str">
            <v>KODEX 코스피</v>
          </cell>
        </row>
        <row r="128">
          <cell r="A128" t="str">
            <v>226980</v>
          </cell>
          <cell r="B128" t="str">
            <v>KODEX 200 중소형</v>
          </cell>
        </row>
        <row r="129">
          <cell r="A129" t="str">
            <v>227540</v>
          </cell>
          <cell r="B129" t="str">
            <v>TIGER 200 헬스케어</v>
          </cell>
        </row>
        <row r="130">
          <cell r="A130" t="str">
            <v>227550</v>
          </cell>
          <cell r="B130" t="str">
            <v>TIGER 200 산업재</v>
          </cell>
        </row>
        <row r="131">
          <cell r="A131" t="str">
            <v>227560</v>
          </cell>
          <cell r="B131" t="str">
            <v>TIGER 200 생활소비재</v>
          </cell>
        </row>
        <row r="132">
          <cell r="A132" t="str">
            <v>227570</v>
          </cell>
          <cell r="B132" t="str">
            <v>TIGER 우량가치</v>
          </cell>
        </row>
        <row r="133">
          <cell r="A133" t="str">
            <v>227830</v>
          </cell>
          <cell r="B133" t="str">
            <v>ARIRANG 코스피</v>
          </cell>
        </row>
        <row r="134">
          <cell r="A134" t="str">
            <v>228790</v>
          </cell>
          <cell r="B134" t="str">
            <v>TIGER 화장품</v>
          </cell>
        </row>
        <row r="135">
          <cell r="A135" t="str">
            <v>228800</v>
          </cell>
          <cell r="B135" t="str">
            <v>TIGER 여행레저</v>
          </cell>
        </row>
        <row r="136">
          <cell r="A136" t="str">
            <v>228810</v>
          </cell>
          <cell r="B136" t="str">
            <v>TIGER 미디어컨텐츠</v>
          </cell>
        </row>
        <row r="137">
          <cell r="A137" t="str">
            <v>228820</v>
          </cell>
          <cell r="B137" t="str">
            <v>TIGER KTOP30</v>
          </cell>
        </row>
        <row r="138">
          <cell r="A138" t="str">
            <v>229200</v>
          </cell>
          <cell r="B138" t="str">
            <v>KODEX 코스닥150</v>
          </cell>
        </row>
        <row r="139">
          <cell r="A139" t="str">
            <v>229720</v>
          </cell>
          <cell r="B139" t="str">
            <v>KODEX KTOP30</v>
          </cell>
        </row>
        <row r="140">
          <cell r="A140" t="str">
            <v>230480</v>
          </cell>
          <cell r="B140" t="str">
            <v>KOSEF 미국달러선물인버스2X</v>
          </cell>
        </row>
        <row r="141">
          <cell r="A141" t="str">
            <v>232080</v>
          </cell>
          <cell r="B141" t="str">
            <v>TIGER 코스닥150</v>
          </cell>
        </row>
        <row r="142">
          <cell r="A142" t="str">
            <v>233160</v>
          </cell>
          <cell r="B142" t="str">
            <v>TIGER 코스닥150 레버리지</v>
          </cell>
        </row>
        <row r="143">
          <cell r="A143" t="str">
            <v>233740</v>
          </cell>
          <cell r="B143" t="str">
            <v>KODEX 코스닥150레버리지</v>
          </cell>
        </row>
        <row r="144">
          <cell r="A144" t="str">
            <v>234310</v>
          </cell>
          <cell r="B144" t="str">
            <v>KBSTAR V&amp;S셀렉트밸류</v>
          </cell>
        </row>
        <row r="145">
          <cell r="A145" t="str">
            <v>236350</v>
          </cell>
          <cell r="B145" t="str">
            <v>TIGER 인도니프티50레버리지(합성)</v>
          </cell>
        </row>
        <row r="146">
          <cell r="A146" t="str">
            <v>237350</v>
          </cell>
          <cell r="B146" t="str">
            <v>KODEX 코스피100</v>
          </cell>
        </row>
        <row r="147">
          <cell r="A147" t="str">
            <v>237370</v>
          </cell>
          <cell r="B147" t="str">
            <v>KODEX 배당성장채권혼합</v>
          </cell>
        </row>
        <row r="148">
          <cell r="A148" t="str">
            <v>237440</v>
          </cell>
          <cell r="B148" t="str">
            <v>TIGER 경기방어채권혼합</v>
          </cell>
        </row>
        <row r="149">
          <cell r="A149" t="str">
            <v>238670</v>
          </cell>
          <cell r="B149" t="str">
            <v>ARIRANG 스마트베타Quality채권혼합</v>
          </cell>
        </row>
        <row r="150">
          <cell r="A150" t="str">
            <v>238720</v>
          </cell>
          <cell r="B150" t="str">
            <v>KINDEX 일본Nikkei225(H)</v>
          </cell>
        </row>
        <row r="151">
          <cell r="A151" t="str">
            <v>239660</v>
          </cell>
          <cell r="B151" t="str">
            <v>ARIRANG 우량회사채50 1년</v>
          </cell>
        </row>
        <row r="152">
          <cell r="A152" t="str">
            <v>241180</v>
          </cell>
          <cell r="B152" t="str">
            <v>TIGER 일본니케이225</v>
          </cell>
        </row>
        <row r="153">
          <cell r="A153" t="str">
            <v>241390</v>
          </cell>
          <cell r="B153" t="str">
            <v>KBSTAR V&amp;S셀렉트밸류채권혼합</v>
          </cell>
        </row>
        <row r="154">
          <cell r="A154" t="str">
            <v>243880</v>
          </cell>
          <cell r="B154" t="str">
            <v>TIGER 200IT레버리지</v>
          </cell>
        </row>
        <row r="155">
          <cell r="A155" t="str">
            <v>243890</v>
          </cell>
          <cell r="B155" t="str">
            <v>TIGER 200에너지화학레버리지</v>
          </cell>
        </row>
        <row r="156">
          <cell r="A156" t="str">
            <v>244580</v>
          </cell>
          <cell r="B156" t="str">
            <v>KODEX 바이오</v>
          </cell>
        </row>
        <row r="157">
          <cell r="A157" t="str">
            <v>244620</v>
          </cell>
          <cell r="B157" t="str">
            <v>KODEX 모멘텀Plus</v>
          </cell>
        </row>
        <row r="158">
          <cell r="A158" t="str">
            <v>244660</v>
          </cell>
          <cell r="B158" t="str">
            <v>KODEX 퀄리티Plus</v>
          </cell>
        </row>
        <row r="159">
          <cell r="A159" t="str">
            <v>244670</v>
          </cell>
          <cell r="B159" t="str">
            <v>KODEX 밸류Plus</v>
          </cell>
        </row>
        <row r="160">
          <cell r="A160" t="str">
            <v>245340</v>
          </cell>
          <cell r="B160" t="str">
            <v>TIGER 미국다우존스30</v>
          </cell>
        </row>
        <row r="161">
          <cell r="A161" t="str">
            <v>245360</v>
          </cell>
          <cell r="B161" t="str">
            <v>TIGER 차이나HSCEI</v>
          </cell>
        </row>
        <row r="162">
          <cell r="A162" t="str">
            <v>245710</v>
          </cell>
          <cell r="B162" t="str">
            <v>KINDEX 베트남VN30(합성)</v>
          </cell>
        </row>
        <row r="163">
          <cell r="A163" t="str">
            <v>248260</v>
          </cell>
          <cell r="B163" t="str">
            <v>TIGER 일본TOPIX헬스케어(합성)</v>
          </cell>
        </row>
        <row r="164">
          <cell r="A164" t="str">
            <v>248270</v>
          </cell>
          <cell r="B164" t="str">
            <v>TIGER S&amp;P글로벌헬스케어(합성)</v>
          </cell>
        </row>
        <row r="165">
          <cell r="A165" t="str">
            <v>250730</v>
          </cell>
          <cell r="B165" t="str">
            <v>KBSTAR 차이나HSCEI(H)</v>
          </cell>
        </row>
        <row r="166">
          <cell r="A166" t="str">
            <v>250780</v>
          </cell>
          <cell r="B166" t="str">
            <v>TIGER 코스닥150선물인버스</v>
          </cell>
        </row>
        <row r="167">
          <cell r="A167" t="str">
            <v>251340</v>
          </cell>
          <cell r="B167" t="str">
            <v>KODEX 코스닥150선물인버스</v>
          </cell>
        </row>
        <row r="168">
          <cell r="A168" t="str">
            <v>251350</v>
          </cell>
          <cell r="B168" t="str">
            <v>KODEX 선진국MSCI World</v>
          </cell>
        </row>
        <row r="169">
          <cell r="A169" t="str">
            <v>251600</v>
          </cell>
          <cell r="B169" t="str">
            <v>ARIRANG 고배당주채권혼합</v>
          </cell>
        </row>
        <row r="170">
          <cell r="A170" t="str">
            <v>252000</v>
          </cell>
          <cell r="B170" t="str">
            <v>TIGER 200동일가중</v>
          </cell>
        </row>
        <row r="171">
          <cell r="A171" t="str">
            <v>252400</v>
          </cell>
          <cell r="B171" t="str">
            <v>KBSTAR 200선물레버리지</v>
          </cell>
        </row>
        <row r="172">
          <cell r="A172" t="str">
            <v>252410</v>
          </cell>
          <cell r="B172" t="str">
            <v>KBSTAR 200선물인버스</v>
          </cell>
        </row>
        <row r="173">
          <cell r="A173" t="str">
            <v>252420</v>
          </cell>
          <cell r="B173" t="str">
            <v>KBSTAR 200선물인버스2X</v>
          </cell>
        </row>
        <row r="174">
          <cell r="A174" t="str">
            <v>252670</v>
          </cell>
          <cell r="B174" t="str">
            <v>KODEX 200선물인버스2X</v>
          </cell>
        </row>
        <row r="175">
          <cell r="A175" t="str">
            <v>252710</v>
          </cell>
          <cell r="B175" t="str">
            <v>TIGER 200선물인버스2X</v>
          </cell>
        </row>
        <row r="176">
          <cell r="A176" t="str">
            <v>252720</v>
          </cell>
          <cell r="B176" t="str">
            <v>KBSTAR 모멘텀밸류</v>
          </cell>
        </row>
        <row r="177">
          <cell r="A177" t="str">
            <v>252730</v>
          </cell>
          <cell r="B177" t="str">
            <v>KBSTAR 모멘텀로우볼</v>
          </cell>
        </row>
        <row r="178">
          <cell r="A178" t="str">
            <v>253150</v>
          </cell>
          <cell r="B178" t="str">
            <v>ARIRANG 200선물레버리지</v>
          </cell>
        </row>
        <row r="179">
          <cell r="A179" t="str">
            <v>253160</v>
          </cell>
          <cell r="B179" t="str">
            <v>ARIRANG 200선물인버스2X</v>
          </cell>
        </row>
        <row r="180">
          <cell r="A180" t="str">
            <v>253230</v>
          </cell>
          <cell r="B180" t="str">
            <v>KOSEF 200선물인버스2X</v>
          </cell>
        </row>
        <row r="181">
          <cell r="A181" t="str">
            <v>253240</v>
          </cell>
          <cell r="B181" t="str">
            <v>KOSEF 200선물인버스</v>
          </cell>
        </row>
        <row r="182">
          <cell r="A182" t="str">
            <v>253250</v>
          </cell>
          <cell r="B182" t="str">
            <v>KOSEF 200선물레버리지</v>
          </cell>
        </row>
        <row r="183">
          <cell r="A183" t="str">
            <v>253280</v>
          </cell>
          <cell r="B183" t="str">
            <v>KBSTAR 헬스케어</v>
          </cell>
        </row>
        <row r="184">
          <cell r="A184" t="str">
            <v>253290</v>
          </cell>
          <cell r="B184" t="str">
            <v>KBSTAR 헬스케어채권혼합</v>
          </cell>
        </row>
        <row r="185">
          <cell r="A185" t="str">
            <v>261060</v>
          </cell>
          <cell r="B185" t="str">
            <v>TIGER 코스닥150IT</v>
          </cell>
        </row>
        <row r="186">
          <cell r="A186" t="str">
            <v>261070</v>
          </cell>
          <cell r="B186" t="str">
            <v>TIGER 코스닥150바이오테크</v>
          </cell>
        </row>
        <row r="187">
          <cell r="A187" t="str">
            <v>261140</v>
          </cell>
          <cell r="B187" t="str">
            <v>TIGER 우선주</v>
          </cell>
        </row>
        <row r="188">
          <cell r="A188" t="str">
            <v>261220</v>
          </cell>
          <cell r="B188" t="str">
            <v>KODEX WTI원유선물(H)</v>
          </cell>
        </row>
        <row r="189">
          <cell r="A189" t="str">
            <v>261240</v>
          </cell>
          <cell r="B189" t="str">
            <v>KODEX 미국달러선물</v>
          </cell>
        </row>
        <row r="190">
          <cell r="A190" t="str">
            <v>261250</v>
          </cell>
          <cell r="B190" t="str">
            <v>KODEX 미국달러선물레버리지</v>
          </cell>
        </row>
        <row r="191">
          <cell r="A191" t="str">
            <v>261260</v>
          </cell>
          <cell r="B191" t="str">
            <v>KODEX 미국달러선물인버스2X</v>
          </cell>
        </row>
        <row r="192">
          <cell r="A192" t="str">
            <v>261270</v>
          </cell>
          <cell r="B192" t="str">
            <v>KODEX 미국달러선물인버스</v>
          </cell>
        </row>
        <row r="193">
          <cell r="A193" t="str">
            <v>266160</v>
          </cell>
          <cell r="B193" t="str">
            <v>KBSTAR 고배당</v>
          </cell>
        </row>
        <row r="194">
          <cell r="A194" t="str">
            <v>267440</v>
          </cell>
          <cell r="B194" t="str">
            <v>KBSTAR 미국장기국채선물(H)</v>
          </cell>
        </row>
        <row r="195">
          <cell r="A195" t="str">
            <v>267450</v>
          </cell>
          <cell r="B195" t="str">
            <v>KBSTAR 미국장기국채선물인버스(H)</v>
          </cell>
        </row>
        <row r="196">
          <cell r="A196" t="str">
            <v>267490</v>
          </cell>
          <cell r="B196" t="str">
            <v>KBSTAR 미국장기국채선물레버리지(합성 H)</v>
          </cell>
        </row>
        <row r="197">
          <cell r="A197" t="str">
            <v>267500</v>
          </cell>
          <cell r="B197" t="str">
            <v>KBSTAR 미국장기국채선물인버스2X(합성 H)</v>
          </cell>
        </row>
        <row r="198">
          <cell r="A198" t="str">
            <v>267770</v>
          </cell>
          <cell r="B198" t="str">
            <v>TIGER 200선물레버리지</v>
          </cell>
        </row>
        <row r="199">
          <cell r="A199" t="str">
            <v>269370</v>
          </cell>
          <cell r="B199" t="str">
            <v>TIGER S&amp;P글로벌인프라(합성)</v>
          </cell>
        </row>
        <row r="200">
          <cell r="A200" t="str">
            <v>269540</v>
          </cell>
          <cell r="B200" t="str">
            <v>ARIRANG 미국S&amp;P500(H)</v>
          </cell>
        </row>
        <row r="201">
          <cell r="A201" t="str">
            <v>270800</v>
          </cell>
          <cell r="B201" t="str">
            <v>KBSTAR KQ고배당</v>
          </cell>
        </row>
        <row r="202">
          <cell r="A202" t="str">
            <v>270810</v>
          </cell>
          <cell r="B202" t="str">
            <v>KBSTAR 코스닥150</v>
          </cell>
        </row>
        <row r="203">
          <cell r="A203" t="str">
            <v>271050</v>
          </cell>
          <cell r="B203" t="str">
            <v>KODEX WTI원유선물인버스(H)</v>
          </cell>
        </row>
        <row r="204">
          <cell r="A204" t="str">
            <v>272220</v>
          </cell>
          <cell r="B204" t="str">
            <v>KINDEX 스마트모멘텀</v>
          </cell>
        </row>
        <row r="205">
          <cell r="A205" t="str">
            <v>272230</v>
          </cell>
          <cell r="B205" t="str">
            <v>KINDEX 스마트밸류</v>
          </cell>
        </row>
        <row r="206">
          <cell r="A206" t="str">
            <v>272560</v>
          </cell>
          <cell r="B206" t="str">
            <v>KBSTAR 단기국공채액티브</v>
          </cell>
        </row>
        <row r="207">
          <cell r="A207" t="str">
            <v>272570</v>
          </cell>
          <cell r="B207" t="str">
            <v>KBSTAR 중장기국공채액티브</v>
          </cell>
        </row>
        <row r="208">
          <cell r="A208" t="str">
            <v>272910</v>
          </cell>
          <cell r="B208" t="str">
            <v>KINDEX 중장기국공채액티브</v>
          </cell>
        </row>
        <row r="209">
          <cell r="A209" t="str">
            <v>273130</v>
          </cell>
          <cell r="B209" t="str">
            <v>KODEX 종합채권(AA-이상)액티브</v>
          </cell>
        </row>
        <row r="210">
          <cell r="A210" t="str">
            <v>275280</v>
          </cell>
          <cell r="B210" t="str">
            <v>KODEX MSCI모멘텀</v>
          </cell>
        </row>
        <row r="211">
          <cell r="A211" t="str">
            <v>275290</v>
          </cell>
          <cell r="B211" t="str">
            <v>KODEX MSCI밸류</v>
          </cell>
        </row>
        <row r="212">
          <cell r="A212" t="str">
            <v>275300</v>
          </cell>
          <cell r="B212" t="str">
            <v>KODEX MSCI퀄리티</v>
          </cell>
        </row>
        <row r="213">
          <cell r="A213" t="str">
            <v>275750</v>
          </cell>
          <cell r="B213" t="str">
            <v>KBSTAR 코스닥150선물인버스</v>
          </cell>
        </row>
        <row r="214">
          <cell r="A214" t="str">
            <v>275980</v>
          </cell>
          <cell r="B214" t="str">
            <v>TIGER 글로벌4차산업혁신기술(합성 H)</v>
          </cell>
        </row>
        <row r="215">
          <cell r="A215" t="str">
            <v>276000</v>
          </cell>
          <cell r="B215" t="str">
            <v>TIGER 글로벌자원생산기업(합성 H)</v>
          </cell>
        </row>
        <row r="216">
          <cell r="A216" t="str">
            <v>277630</v>
          </cell>
          <cell r="B216" t="str">
            <v>TIGER 코스피</v>
          </cell>
        </row>
        <row r="217">
          <cell r="A217" t="str">
            <v>277640</v>
          </cell>
          <cell r="B217" t="str">
            <v>TIGER 코스피대형주</v>
          </cell>
        </row>
        <row r="218">
          <cell r="A218" t="str">
            <v>277650</v>
          </cell>
          <cell r="B218" t="str">
            <v>TIGER 코스피중형주</v>
          </cell>
        </row>
        <row r="219">
          <cell r="A219" t="str">
            <v>278240</v>
          </cell>
          <cell r="B219" t="str">
            <v>KBSTAR 코스닥150선물레버리지</v>
          </cell>
        </row>
        <row r="220">
          <cell r="A220" t="str">
            <v>278530</v>
          </cell>
          <cell r="B220" t="str">
            <v>KODEX 200TR</v>
          </cell>
        </row>
        <row r="221">
          <cell r="A221" t="str">
            <v>278540</v>
          </cell>
          <cell r="B221" t="str">
            <v>KODEX MSCI Korea TR</v>
          </cell>
        </row>
        <row r="222">
          <cell r="A222" t="str">
            <v>278620</v>
          </cell>
          <cell r="B222" t="str">
            <v>ARIRANG 단기채권액티브</v>
          </cell>
        </row>
        <row r="223">
          <cell r="A223" t="str">
            <v>280920</v>
          </cell>
          <cell r="B223" t="str">
            <v>ARIRANG 주도업종</v>
          </cell>
        </row>
        <row r="224">
          <cell r="A224" t="str">
            <v>280930</v>
          </cell>
          <cell r="B224" t="str">
            <v>KODEX 미국러셀2000(H)</v>
          </cell>
        </row>
        <row r="225">
          <cell r="A225" t="str">
            <v>280940</v>
          </cell>
          <cell r="B225" t="str">
            <v>KODEX 골드선물인버스(H)</v>
          </cell>
        </row>
        <row r="226">
          <cell r="A226" t="str">
            <v>281990</v>
          </cell>
          <cell r="B226" t="str">
            <v>KBSTAR 중소형고배당</v>
          </cell>
        </row>
        <row r="227">
          <cell r="A227" t="str">
            <v>282000</v>
          </cell>
          <cell r="B227" t="str">
            <v>KBSTAR 국고채3년선물인버스</v>
          </cell>
        </row>
        <row r="228">
          <cell r="A228" t="str">
            <v>284980</v>
          </cell>
          <cell r="B228" t="str">
            <v>KBSTAR 200금융</v>
          </cell>
        </row>
        <row r="229">
          <cell r="A229" t="str">
            <v>284990</v>
          </cell>
          <cell r="B229" t="str">
            <v>KBSTAR 200에너지화학</v>
          </cell>
        </row>
        <row r="230">
          <cell r="A230" t="str">
            <v>285000</v>
          </cell>
          <cell r="B230" t="str">
            <v>KBSTAR 200IT</v>
          </cell>
        </row>
        <row r="231">
          <cell r="A231" t="str">
            <v>285010</v>
          </cell>
          <cell r="B231" t="str">
            <v>KBSTAR 200중공업</v>
          </cell>
        </row>
        <row r="232">
          <cell r="A232" t="str">
            <v>285020</v>
          </cell>
          <cell r="B232" t="str">
            <v>KBSTAR 200철강소재</v>
          </cell>
        </row>
        <row r="233">
          <cell r="A233" t="str">
            <v>287300</v>
          </cell>
          <cell r="B233" t="str">
            <v>KBSTAR 200건설</v>
          </cell>
        </row>
        <row r="234">
          <cell r="A234" t="str">
            <v>287310</v>
          </cell>
          <cell r="B234" t="str">
            <v>KBSTAR 200경기소비재</v>
          </cell>
        </row>
        <row r="235">
          <cell r="A235" t="str">
            <v>287320</v>
          </cell>
          <cell r="B235" t="str">
            <v>KBSTAR 200산업재</v>
          </cell>
        </row>
        <row r="236">
          <cell r="A236" t="str">
            <v>287330</v>
          </cell>
          <cell r="B236" t="str">
            <v>KBSTAR 200생활소비재</v>
          </cell>
        </row>
        <row r="237">
          <cell r="A237" t="str">
            <v>289250</v>
          </cell>
          <cell r="B237" t="str">
            <v>TIGER MSCI KOREA ESG유니버설</v>
          </cell>
        </row>
        <row r="238">
          <cell r="A238" t="str">
            <v>289260</v>
          </cell>
          <cell r="B238" t="str">
            <v>TIGER MSCI KOREA ESG리더스</v>
          </cell>
        </row>
        <row r="239">
          <cell r="A239" t="str">
            <v>290080</v>
          </cell>
          <cell r="B239" t="str">
            <v>KBSTAR 200고배당커버드콜ATM</v>
          </cell>
        </row>
        <row r="240">
          <cell r="A240" t="str">
            <v>290130</v>
          </cell>
          <cell r="B240" t="str">
            <v>KBSTAR ESG사회책임투자</v>
          </cell>
        </row>
        <row r="241">
          <cell r="A241" t="str">
            <v>291620</v>
          </cell>
          <cell r="B241" t="str">
            <v>KOSEF 코스닥150선물인버스</v>
          </cell>
        </row>
        <row r="242">
          <cell r="A242" t="str">
            <v>291630</v>
          </cell>
          <cell r="B242" t="str">
            <v>KOSEF 코스닥150선물레버리지</v>
          </cell>
        </row>
        <row r="243">
          <cell r="A243" t="str">
            <v>291680</v>
          </cell>
          <cell r="B243" t="str">
            <v>KBSTAR 차이나H선물인버스(H)</v>
          </cell>
        </row>
        <row r="244">
          <cell r="A244" t="str">
            <v>291890</v>
          </cell>
          <cell r="B244" t="str">
            <v>KODEX MSCI EM선물(H)</v>
          </cell>
        </row>
        <row r="245">
          <cell r="A245" t="str">
            <v>292050</v>
          </cell>
          <cell r="B245" t="str">
            <v>KBSTAR KRX300</v>
          </cell>
        </row>
        <row r="246">
          <cell r="A246" t="str">
            <v>292150</v>
          </cell>
          <cell r="B246" t="str">
            <v>TIGER TOP10</v>
          </cell>
        </row>
        <row r="247">
          <cell r="A247" t="str">
            <v>292160</v>
          </cell>
          <cell r="B247" t="str">
            <v>TIGER KRX300</v>
          </cell>
        </row>
        <row r="248">
          <cell r="A248" t="str">
            <v>292190</v>
          </cell>
          <cell r="B248" t="str">
            <v>KODEX KRX300</v>
          </cell>
        </row>
        <row r="249">
          <cell r="A249" t="str">
            <v>292500</v>
          </cell>
          <cell r="B249" t="str">
            <v>SOL KRX300</v>
          </cell>
        </row>
        <row r="250">
          <cell r="A250" t="str">
            <v>292560</v>
          </cell>
          <cell r="B250" t="str">
            <v>TIGER 일본엔선물</v>
          </cell>
        </row>
        <row r="251">
          <cell r="A251" t="str">
            <v>292730</v>
          </cell>
          <cell r="B251" t="str">
            <v>FOCUS KRX300</v>
          </cell>
        </row>
        <row r="252">
          <cell r="A252" t="str">
            <v>292750</v>
          </cell>
          <cell r="B252" t="str">
            <v>ARIRANG KRX300</v>
          </cell>
        </row>
        <row r="253">
          <cell r="A253" t="str">
            <v>292770</v>
          </cell>
          <cell r="B253" t="str">
            <v>KODEX 국채선물3년인버스</v>
          </cell>
        </row>
        <row r="254">
          <cell r="A254" t="str">
            <v>293180</v>
          </cell>
          <cell r="B254" t="str">
            <v>HANARO 200</v>
          </cell>
        </row>
        <row r="255">
          <cell r="A255" t="str">
            <v>294400</v>
          </cell>
          <cell r="B255" t="str">
            <v>KOSEF 200TR</v>
          </cell>
        </row>
        <row r="256">
          <cell r="A256" t="str">
            <v>295000</v>
          </cell>
          <cell r="B256" t="str">
            <v>KBSTAR 국채선물10년</v>
          </cell>
        </row>
        <row r="257">
          <cell r="A257" t="str">
            <v>295020</v>
          </cell>
          <cell r="B257" t="str">
            <v>KBSTAR 국채선물10년인버스</v>
          </cell>
        </row>
        <row r="258">
          <cell r="A258" t="str">
            <v>295040</v>
          </cell>
          <cell r="B258" t="str">
            <v>SOL 200TR</v>
          </cell>
        </row>
        <row r="259">
          <cell r="A259" t="str">
            <v>295820</v>
          </cell>
          <cell r="B259" t="str">
            <v>ARIRANG 200동일가중</v>
          </cell>
        </row>
        <row r="260">
          <cell r="A260" t="str">
            <v>300610</v>
          </cell>
          <cell r="B260" t="str">
            <v>TIGER K게임</v>
          </cell>
        </row>
        <row r="261">
          <cell r="A261" t="str">
            <v>300640</v>
          </cell>
          <cell r="B261" t="str">
            <v>KBSTAR 게임테마</v>
          </cell>
        </row>
        <row r="262">
          <cell r="A262" t="str">
            <v>300950</v>
          </cell>
          <cell r="B262" t="str">
            <v>KODEX 게임산업</v>
          </cell>
        </row>
        <row r="263">
          <cell r="A263" t="str">
            <v>301410</v>
          </cell>
          <cell r="B263" t="str">
            <v>ARIRANG 코스닥150선물인버스</v>
          </cell>
        </row>
        <row r="264">
          <cell r="A264" t="str">
            <v>302190</v>
          </cell>
          <cell r="B264" t="str">
            <v>TIGER 중장기국채</v>
          </cell>
        </row>
        <row r="265">
          <cell r="A265" t="str">
            <v>302450</v>
          </cell>
          <cell r="B265" t="str">
            <v>KBSTAR 코스피</v>
          </cell>
        </row>
        <row r="266">
          <cell r="A266" t="str">
            <v>304660</v>
          </cell>
          <cell r="B266" t="str">
            <v>KODEX 미국채울트라30년선물(H)</v>
          </cell>
        </row>
        <row r="267">
          <cell r="A267" t="str">
            <v>304670</v>
          </cell>
          <cell r="B267" t="str">
            <v>KODEX 미국채울트라30년선물인버스(H)</v>
          </cell>
        </row>
        <row r="268">
          <cell r="A268" t="str">
            <v>304760</v>
          </cell>
          <cell r="B268" t="str">
            <v>HANARO KRX300</v>
          </cell>
        </row>
        <row r="269">
          <cell r="A269" t="str">
            <v>304770</v>
          </cell>
          <cell r="B269" t="str">
            <v>HANARO 코스닥150</v>
          </cell>
        </row>
        <row r="270">
          <cell r="A270" t="str">
            <v>304780</v>
          </cell>
          <cell r="B270" t="str">
            <v>HANARO 200선물레버리지</v>
          </cell>
        </row>
        <row r="271">
          <cell r="A271" t="str">
            <v>304940</v>
          </cell>
          <cell r="B271" t="str">
            <v>KODEX 미국나스닥100선물(H)</v>
          </cell>
        </row>
        <row r="272">
          <cell r="A272" t="str">
            <v>305050</v>
          </cell>
          <cell r="B272" t="str">
            <v>KINDEX 코스피</v>
          </cell>
        </row>
        <row r="273">
          <cell r="A273" t="str">
            <v>305080</v>
          </cell>
          <cell r="B273" t="str">
            <v>TIGER 미국채10년선물</v>
          </cell>
        </row>
        <row r="274">
          <cell r="A274" t="str">
            <v>305540</v>
          </cell>
          <cell r="B274" t="str">
            <v>TIGER 2차전지테마</v>
          </cell>
        </row>
        <row r="275">
          <cell r="A275" t="str">
            <v>305720</v>
          </cell>
          <cell r="B275" t="str">
            <v>KODEX 2차전지산업</v>
          </cell>
        </row>
        <row r="276">
          <cell r="A276" t="str">
            <v>306520</v>
          </cell>
          <cell r="B276" t="str">
            <v>HANARO 200선물인버스</v>
          </cell>
        </row>
        <row r="277">
          <cell r="A277" t="str">
            <v>306530</v>
          </cell>
          <cell r="B277" t="str">
            <v>HANARO 코스닥150선물레버리지</v>
          </cell>
        </row>
        <row r="278">
          <cell r="A278" t="str">
            <v>306950</v>
          </cell>
          <cell r="B278" t="str">
            <v>KODEX KRX300레버리지</v>
          </cell>
        </row>
        <row r="279">
          <cell r="A279" t="str">
            <v>307010</v>
          </cell>
          <cell r="B279" t="str">
            <v>KBSTAR KRX300레버리지</v>
          </cell>
        </row>
        <row r="280">
          <cell r="A280" t="str">
            <v>307510</v>
          </cell>
          <cell r="B280" t="str">
            <v>TIGER 의료기기</v>
          </cell>
        </row>
        <row r="281">
          <cell r="A281" t="str">
            <v>307520</v>
          </cell>
          <cell r="B281" t="str">
            <v>TIGER 지주회사</v>
          </cell>
        </row>
        <row r="282">
          <cell r="A282" t="str">
            <v>308620</v>
          </cell>
          <cell r="B282" t="str">
            <v>KODEX 미국채10년선물</v>
          </cell>
        </row>
        <row r="283">
          <cell r="A283" t="str">
            <v>310080</v>
          </cell>
          <cell r="B283" t="str">
            <v>KBSTAR 중국MSCI China(H)</v>
          </cell>
        </row>
        <row r="284">
          <cell r="A284" t="str">
            <v>310960</v>
          </cell>
          <cell r="B284" t="str">
            <v>TIGER 200TR</v>
          </cell>
        </row>
        <row r="285">
          <cell r="A285" t="str">
            <v>310970</v>
          </cell>
          <cell r="B285" t="str">
            <v>TIGER MSCI Korea TR</v>
          </cell>
        </row>
        <row r="286">
          <cell r="A286" t="str">
            <v>314250</v>
          </cell>
          <cell r="B286" t="str">
            <v>KODEX 미국FANG플러스(H)</v>
          </cell>
        </row>
        <row r="287">
          <cell r="A287" t="str">
            <v>315270</v>
          </cell>
          <cell r="B287" t="str">
            <v>TIGER 200커뮤니케이션서비스</v>
          </cell>
        </row>
        <row r="288">
          <cell r="A288" t="str">
            <v>315480</v>
          </cell>
          <cell r="B288" t="str">
            <v>KBSTAR 200커뮤니케이션서비스</v>
          </cell>
        </row>
        <row r="289">
          <cell r="A289" t="str">
            <v>315930</v>
          </cell>
          <cell r="B289" t="str">
            <v>KODEX Top5PlusTR</v>
          </cell>
        </row>
        <row r="290">
          <cell r="A290" t="str">
            <v>315960</v>
          </cell>
          <cell r="B290" t="str">
            <v>KBSTAR 대형고배당10TR</v>
          </cell>
        </row>
        <row r="291">
          <cell r="A291" t="str">
            <v>319640</v>
          </cell>
          <cell r="B291" t="str">
            <v>TIGER 골드선물(H)</v>
          </cell>
        </row>
        <row r="292">
          <cell r="A292" t="str">
            <v>319870</v>
          </cell>
          <cell r="B292" t="str">
            <v>KBSTAR KRX300미국달러선물혼합</v>
          </cell>
        </row>
        <row r="293">
          <cell r="A293" t="str">
            <v>321410</v>
          </cell>
          <cell r="B293" t="str">
            <v>KODEX 멀티에셋하이인컴(H)</v>
          </cell>
        </row>
        <row r="294">
          <cell r="A294" t="str">
            <v>322120</v>
          </cell>
          <cell r="B294" t="str">
            <v>KINDEX 스마트퀄리티</v>
          </cell>
        </row>
        <row r="295">
          <cell r="A295" t="str">
            <v>322130</v>
          </cell>
          <cell r="B295" t="str">
            <v>KINDEX 스마트로우볼</v>
          </cell>
        </row>
        <row r="296">
          <cell r="A296" t="str">
            <v>322150</v>
          </cell>
          <cell r="B296" t="str">
            <v>KINDEX 스마트하이베타</v>
          </cell>
        </row>
        <row r="297">
          <cell r="A297" t="str">
            <v>322400</v>
          </cell>
          <cell r="B297" t="str">
            <v>HANARO e커머스</v>
          </cell>
        </row>
        <row r="298">
          <cell r="A298" t="str">
            <v>322410</v>
          </cell>
          <cell r="B298" t="str">
            <v>HANARO 고배당</v>
          </cell>
        </row>
        <row r="299">
          <cell r="A299" t="str">
            <v>325010</v>
          </cell>
          <cell r="B299" t="str">
            <v>KODEX Fn성장</v>
          </cell>
        </row>
        <row r="300">
          <cell r="A300" t="str">
            <v>325020</v>
          </cell>
          <cell r="B300" t="str">
            <v>KODEX 배당가치</v>
          </cell>
        </row>
        <row r="301">
          <cell r="A301" t="str">
            <v>326230</v>
          </cell>
          <cell r="B301" t="str">
            <v>KBSTAR 내수주플러스</v>
          </cell>
        </row>
        <row r="302">
          <cell r="A302" t="str">
            <v>326240</v>
          </cell>
          <cell r="B302" t="str">
            <v>KBSTAR IT플러스</v>
          </cell>
        </row>
        <row r="303">
          <cell r="A303" t="str">
            <v>328370</v>
          </cell>
          <cell r="B303" t="str">
            <v>ARIRANG 코스피TR</v>
          </cell>
        </row>
        <row r="304">
          <cell r="A304" t="str">
            <v>329200</v>
          </cell>
          <cell r="B304" t="str">
            <v>TIGER 리츠부동산인프라</v>
          </cell>
        </row>
        <row r="305">
          <cell r="A305" t="str">
            <v>332500</v>
          </cell>
          <cell r="B305" t="str">
            <v>KINDEX 200TR</v>
          </cell>
        </row>
        <row r="306">
          <cell r="A306" t="str">
            <v>332930</v>
          </cell>
          <cell r="B306" t="str">
            <v>HANARO 200TR</v>
          </cell>
        </row>
        <row r="307">
          <cell r="A307" t="str">
            <v>332940</v>
          </cell>
          <cell r="B307" t="str">
            <v>HANARO MSCI Korea TR</v>
          </cell>
        </row>
        <row r="308">
          <cell r="A308" t="str">
            <v>333940</v>
          </cell>
          <cell r="B308" t="str">
            <v>ARIRANG KS로우볼가중TR</v>
          </cell>
        </row>
        <row r="309">
          <cell r="A309" t="str">
            <v>333950</v>
          </cell>
          <cell r="B309" t="str">
            <v>ARIRANG KS로우사이즈가중TR</v>
          </cell>
        </row>
        <row r="310">
          <cell r="A310" t="str">
            <v>333960</v>
          </cell>
          <cell r="B310" t="str">
            <v>ARIRANG KS모멘텀가중TR</v>
          </cell>
        </row>
        <row r="311">
          <cell r="A311" t="str">
            <v>333970</v>
          </cell>
          <cell r="B311" t="str">
            <v>ARIRANG KS밸류가중TR</v>
          </cell>
        </row>
        <row r="312">
          <cell r="A312" t="str">
            <v>333980</v>
          </cell>
          <cell r="B312" t="str">
            <v>ARIRANG KS퀄리티가중TR</v>
          </cell>
        </row>
        <row r="313">
          <cell r="A313" t="str">
            <v>334690</v>
          </cell>
          <cell r="B313" t="str">
            <v>KBSTAR 팔라듐선물(H)</v>
          </cell>
        </row>
        <row r="314">
          <cell r="A314" t="str">
            <v>334700</v>
          </cell>
          <cell r="B314" t="str">
            <v>KBSTAR 팔라듐선물인버스(H)</v>
          </cell>
        </row>
        <row r="315">
          <cell r="A315" t="str">
            <v>336160</v>
          </cell>
          <cell r="B315" t="str">
            <v>KBSTAR 금융채액티브</v>
          </cell>
        </row>
        <row r="316">
          <cell r="A316" t="str">
            <v>341850</v>
          </cell>
          <cell r="B316" t="str">
            <v>TIGER 리츠부동산인프라채권TR KIS</v>
          </cell>
        </row>
        <row r="317">
          <cell r="A317" t="str">
            <v>354240</v>
          </cell>
          <cell r="B317" t="str">
            <v>KBSTAR 미국고정배당우선증권ICE TR</v>
          </cell>
        </row>
        <row r="318">
          <cell r="A318" t="str">
            <v>354350</v>
          </cell>
          <cell r="B318" t="str">
            <v>HANARO 글로벌럭셔리S&amp;P(합성)</v>
          </cell>
        </row>
        <row r="319">
          <cell r="A319" t="str">
            <v>354500</v>
          </cell>
          <cell r="B319" t="str">
            <v>KINDEX 코스닥150</v>
          </cell>
        </row>
        <row r="320">
          <cell r="A320" t="str">
            <v>357870</v>
          </cell>
          <cell r="B320" t="str">
            <v>TIGER CD금리투자KIS(합성)</v>
          </cell>
        </row>
        <row r="321">
          <cell r="A321" t="str">
            <v>360140</v>
          </cell>
          <cell r="B321" t="str">
            <v>KODEX 200롱코스닥150숏선물</v>
          </cell>
        </row>
        <row r="322">
          <cell r="A322" t="str">
            <v>360150</v>
          </cell>
          <cell r="B322" t="str">
            <v>KODEX 코스닥150롱코스피200숏선물</v>
          </cell>
        </row>
        <row r="323">
          <cell r="A323" t="str">
            <v>360200</v>
          </cell>
          <cell r="B323" t="str">
            <v>KINDEX 미국S&amp;P500</v>
          </cell>
        </row>
        <row r="324">
          <cell r="A324" t="str">
            <v>360750</v>
          </cell>
          <cell r="B324" t="str">
            <v>TIGER 미국S&amp;P500</v>
          </cell>
        </row>
        <row r="325">
          <cell r="A325" t="str">
            <v>361580</v>
          </cell>
          <cell r="B325" t="str">
            <v>KBSTAR 200TR</v>
          </cell>
        </row>
        <row r="326">
          <cell r="A326" t="str">
            <v>361590</v>
          </cell>
          <cell r="B326" t="str">
            <v>KBSTAR 코스피ex200</v>
          </cell>
        </row>
        <row r="327">
          <cell r="A327" t="str">
            <v>364960</v>
          </cell>
          <cell r="B327" t="str">
            <v>TIGER KRX BBIG K-뉴딜</v>
          </cell>
        </row>
        <row r="328">
          <cell r="A328" t="str">
            <v>364970</v>
          </cell>
          <cell r="B328" t="str">
            <v>TIGER KRX바이오K-뉴딜</v>
          </cell>
        </row>
        <row r="329">
          <cell r="A329" t="str">
            <v>364980</v>
          </cell>
          <cell r="B329" t="str">
            <v>TIGER KRX2차전지K-뉴딜</v>
          </cell>
        </row>
        <row r="330">
          <cell r="A330" t="str">
            <v>364990</v>
          </cell>
          <cell r="B330" t="str">
            <v>TIGER KRX게임K-뉴딜</v>
          </cell>
        </row>
        <row r="331">
          <cell r="A331" t="str">
            <v>365000</v>
          </cell>
          <cell r="B331" t="str">
            <v>TIGER KRX인터넷K-뉴딜</v>
          </cell>
        </row>
        <row r="332">
          <cell r="A332" t="str">
            <v>365040</v>
          </cell>
          <cell r="B332" t="str">
            <v>TIGER AI코리아그로스액티브</v>
          </cell>
        </row>
        <row r="333">
          <cell r="A333" t="str">
            <v>365780</v>
          </cell>
          <cell r="B333" t="str">
            <v>KINDEX 국고채10년</v>
          </cell>
        </row>
        <row r="334">
          <cell r="A334" t="str">
            <v>367380</v>
          </cell>
          <cell r="B334" t="str">
            <v>KINDEX 미국나스닥100</v>
          </cell>
        </row>
        <row r="335">
          <cell r="A335" t="str">
            <v>367740</v>
          </cell>
          <cell r="B335" t="str">
            <v>HANARO Fn5G산업</v>
          </cell>
        </row>
        <row r="336">
          <cell r="A336" t="str">
            <v>367760</v>
          </cell>
          <cell r="B336" t="str">
            <v>KBSTAR Fn5G테크</v>
          </cell>
        </row>
        <row r="337">
          <cell r="A337" t="str">
            <v>367770</v>
          </cell>
          <cell r="B337" t="str">
            <v>KBSTAR Fn수소경제테마</v>
          </cell>
        </row>
        <row r="338">
          <cell r="A338" t="str">
            <v>368190</v>
          </cell>
          <cell r="B338" t="str">
            <v>HANARO Fn K-뉴딜디지털플러스</v>
          </cell>
        </row>
        <row r="339">
          <cell r="A339" t="str">
            <v>368200</v>
          </cell>
          <cell r="B339" t="str">
            <v>KBSTAR Fn K-뉴딜디지털플러스</v>
          </cell>
        </row>
        <row r="340">
          <cell r="A340" t="str">
            <v>368470</v>
          </cell>
          <cell r="B340" t="str">
            <v>KINDEX Fn K-뉴딜디지털플러스</v>
          </cell>
        </row>
        <row r="341">
          <cell r="A341" t="str">
            <v>368590</v>
          </cell>
          <cell r="B341" t="str">
            <v>KBSTAR 미국나스닥100</v>
          </cell>
        </row>
        <row r="342">
          <cell r="A342" t="str">
            <v>368680</v>
          </cell>
          <cell r="B342" t="str">
            <v>KODEX Fn K-뉴딜디지털플러스</v>
          </cell>
        </row>
        <row r="343">
          <cell r="A343" t="str">
            <v>371150</v>
          </cell>
          <cell r="B343" t="str">
            <v>KBSTAR 차이나항셍테크</v>
          </cell>
        </row>
        <row r="344">
          <cell r="A344" t="str">
            <v>371160</v>
          </cell>
          <cell r="B344" t="str">
            <v>TIGER 차이나항셍테크</v>
          </cell>
        </row>
        <row r="345">
          <cell r="A345" t="str">
            <v>371450</v>
          </cell>
          <cell r="B345" t="str">
            <v>TIGER 글로벌클라우드컴퓨팅INDXX</v>
          </cell>
        </row>
        <row r="346">
          <cell r="A346" t="str">
            <v>371460</v>
          </cell>
          <cell r="B346" t="str">
            <v>TIGER 차이나전기차SOLACTIVE</v>
          </cell>
        </row>
        <row r="347">
          <cell r="A347" t="str">
            <v>371470</v>
          </cell>
          <cell r="B347" t="str">
            <v>TIGER 차이나바이오테크SOLACTIVE</v>
          </cell>
        </row>
        <row r="348">
          <cell r="A348" t="str">
            <v>371870</v>
          </cell>
          <cell r="B348" t="str">
            <v>KINDEX 차이나항셍테크</v>
          </cell>
        </row>
        <row r="349">
          <cell r="A349" t="str">
            <v>372330</v>
          </cell>
          <cell r="B349" t="str">
            <v>KODEX 차이나항셍테크</v>
          </cell>
        </row>
        <row r="350">
          <cell r="A350" t="str">
            <v>373790</v>
          </cell>
          <cell r="B350" t="str">
            <v>KOSEF 미국방어배당성장나스닥</v>
          </cell>
        </row>
        <row r="351">
          <cell r="A351" t="str">
            <v>375760</v>
          </cell>
          <cell r="B351" t="str">
            <v>HANARO 탄소효율그린뉴딜</v>
          </cell>
        </row>
        <row r="352">
          <cell r="A352" t="str">
            <v>375770</v>
          </cell>
          <cell r="B352" t="str">
            <v>KODEX 탄소효율그린뉴딜</v>
          </cell>
        </row>
        <row r="353">
          <cell r="A353" t="str">
            <v>376410</v>
          </cell>
          <cell r="B353" t="str">
            <v>TIGER 탄소효율그린뉴딜</v>
          </cell>
        </row>
        <row r="354">
          <cell r="A354" t="str">
            <v>379780</v>
          </cell>
          <cell r="B354" t="str">
            <v>KBSTAR 미국S&amp;P500</v>
          </cell>
        </row>
        <row r="355">
          <cell r="A355" t="str">
            <v>379790</v>
          </cell>
          <cell r="B355" t="str">
            <v>KBSTAR 유로스탁스50(H)</v>
          </cell>
        </row>
        <row r="356">
          <cell r="A356" t="str">
            <v>379800</v>
          </cell>
          <cell r="B356" t="str">
            <v>KODEX 미국S&amp;P500TR</v>
          </cell>
        </row>
        <row r="357">
          <cell r="A357" t="str">
            <v>379810</v>
          </cell>
          <cell r="B357" t="str">
            <v>KODEX 미국나스닥100TR</v>
          </cell>
        </row>
        <row r="358">
          <cell r="A358" t="str">
            <v>381180</v>
          </cell>
          <cell r="B358" t="str">
            <v>TIGER 미국필라델피아반도체나스닥</v>
          </cell>
        </row>
        <row r="359">
          <cell r="A359" t="str">
            <v>381560</v>
          </cell>
          <cell r="B359" t="str">
            <v>HANARO Fn전기&amp;수소차</v>
          </cell>
        </row>
        <row r="360">
          <cell r="A360" t="str">
            <v>381570</v>
          </cell>
          <cell r="B360" t="str">
            <v>HANARO Fn친환경에너지</v>
          </cell>
        </row>
        <row r="361">
          <cell r="A361" t="str">
            <v>385540</v>
          </cell>
          <cell r="B361" t="str">
            <v>KBSTAR KIS종합채권(A-이상)액티브</v>
          </cell>
        </row>
        <row r="362">
          <cell r="A362" t="str">
            <v>385550</v>
          </cell>
          <cell r="B362" t="str">
            <v>KBSTAR KIS단기종합채권(AA-이상)액티브</v>
          </cell>
        </row>
        <row r="363">
          <cell r="A363" t="str">
            <v>385560</v>
          </cell>
          <cell r="B363" t="str">
            <v>KBSTAR KIS국고채30년Enhanced</v>
          </cell>
        </row>
        <row r="364">
          <cell r="A364" t="str">
            <v>385710</v>
          </cell>
          <cell r="B364" t="str">
            <v>TIMEFOLIO BBIG액티브</v>
          </cell>
        </row>
        <row r="365">
          <cell r="A365" t="str">
            <v>385720</v>
          </cell>
          <cell r="B365" t="str">
            <v>TIMEFOLIO Kstock액티브</v>
          </cell>
        </row>
        <row r="366">
          <cell r="A366" t="str">
            <v>388280</v>
          </cell>
          <cell r="B366" t="str">
            <v>KBSTAR Fn컨택트대표</v>
          </cell>
        </row>
        <row r="367">
          <cell r="A367" t="str">
            <v>388420</v>
          </cell>
          <cell r="B367" t="str">
            <v>KBSTAR 비메모리반도체액티브</v>
          </cell>
        </row>
        <row r="368">
          <cell r="A368" t="str">
            <v>390950</v>
          </cell>
          <cell r="B368" t="str">
            <v>HANARO 단기채권액티브</v>
          </cell>
        </row>
        <row r="369">
          <cell r="A369" t="str">
            <v>391680</v>
          </cell>
          <cell r="B369" t="str">
            <v>HK 하이볼액티브</v>
          </cell>
        </row>
        <row r="370">
          <cell r="A370" t="str">
            <v>394340</v>
          </cell>
          <cell r="B370" t="str">
            <v>KOSEF 릭소글로벌디지털경제MSCI</v>
          </cell>
        </row>
        <row r="371">
          <cell r="A371" t="str">
            <v>394350</v>
          </cell>
          <cell r="B371" t="str">
            <v>KOSEF 릭소글로벌퓨처모빌리티MSCI</v>
          </cell>
        </row>
        <row r="372">
          <cell r="A372" t="str">
            <v>394660</v>
          </cell>
          <cell r="B372" t="str">
            <v>TIGER 글로벌자율주행&amp;전기차SOLACTIVE</v>
          </cell>
        </row>
        <row r="373">
          <cell r="A373" t="str">
            <v>394670</v>
          </cell>
          <cell r="B373" t="str">
            <v>TIGER 글로벌리튬&amp;2차전지SOLACTIVE(합성)</v>
          </cell>
        </row>
        <row r="374">
          <cell r="A374" t="str">
            <v>395150</v>
          </cell>
          <cell r="B374" t="str">
            <v>KODEX Fn웹툰&amp;드라마</v>
          </cell>
        </row>
        <row r="375">
          <cell r="A375" t="str">
            <v>395160</v>
          </cell>
          <cell r="B375" t="str">
            <v>KODEX Fn시스템반도체</v>
          </cell>
        </row>
        <row r="376">
          <cell r="A376" t="str">
            <v>395170</v>
          </cell>
          <cell r="B376" t="str">
            <v>KODEX Fn Top10동일가중</v>
          </cell>
        </row>
        <row r="377">
          <cell r="A377" t="str">
            <v>395270</v>
          </cell>
          <cell r="B377" t="str">
            <v>HANARO Fn K-반도체</v>
          </cell>
        </row>
        <row r="378">
          <cell r="A378" t="str">
            <v>395280</v>
          </cell>
          <cell r="B378" t="str">
            <v>HANARO Fn K-게임</v>
          </cell>
        </row>
        <row r="379">
          <cell r="A379" t="str">
            <v>395290</v>
          </cell>
          <cell r="B379" t="str">
            <v>HANARO Fn K-POP&amp;미디어</v>
          </cell>
        </row>
        <row r="380">
          <cell r="A380" t="str">
            <v>395750</v>
          </cell>
          <cell r="B380" t="str">
            <v>ARIRANG ESG가치주액티브</v>
          </cell>
        </row>
        <row r="381">
          <cell r="A381" t="str">
            <v>395760</v>
          </cell>
          <cell r="B381" t="str">
            <v>ARIRANG ESG성장주액티브</v>
          </cell>
        </row>
        <row r="382">
          <cell r="A382" t="str">
            <v>396500</v>
          </cell>
          <cell r="B382" t="str">
            <v>TIGER Fn반도체TOP10</v>
          </cell>
        </row>
        <row r="383">
          <cell r="A383" t="str">
            <v>396510</v>
          </cell>
          <cell r="B383" t="str">
            <v>TIGER 차이나클린에너지SOLACTIVE</v>
          </cell>
        </row>
        <row r="384">
          <cell r="A384" t="str">
            <v>396520</v>
          </cell>
          <cell r="B384" t="str">
            <v>TIGER 차이나반도체FACTSET</v>
          </cell>
        </row>
        <row r="385">
          <cell r="A385" t="str">
            <v>397410</v>
          </cell>
          <cell r="B385" t="str">
            <v>KBSTAR 국채선물5년추종인버스</v>
          </cell>
        </row>
        <row r="386">
          <cell r="A386" t="str">
            <v>397420</v>
          </cell>
          <cell r="B386" t="str">
            <v>KBSTAR 국채선물5년추종</v>
          </cell>
        </row>
        <row r="387">
          <cell r="A387" t="str">
            <v>399110</v>
          </cell>
          <cell r="B387" t="str">
            <v>SOL 미국S&amp;P500ESG</v>
          </cell>
        </row>
        <row r="388">
          <cell r="A388" t="str">
            <v>399580</v>
          </cell>
          <cell r="B388" t="str">
            <v>KBSTAR 글로벌클린에너지S&amp;P</v>
          </cell>
        </row>
        <row r="389">
          <cell r="A389" t="str">
            <v>400570</v>
          </cell>
          <cell r="B389" t="str">
            <v>KODEX 유럽탄소배출권선물ICE(H)</v>
          </cell>
        </row>
        <row r="390">
          <cell r="A390" t="str">
            <v>400970</v>
          </cell>
          <cell r="B390" t="str">
            <v>TIGER Fn메타버스</v>
          </cell>
        </row>
        <row r="391">
          <cell r="A391" t="str">
            <v>401170</v>
          </cell>
          <cell r="B391" t="str">
            <v>KBSTAR iSelect메타버스</v>
          </cell>
        </row>
        <row r="392">
          <cell r="A392" t="str">
            <v>401470</v>
          </cell>
          <cell r="B392" t="str">
            <v>KODEX K-메타버스액티브</v>
          </cell>
        </row>
        <row r="393">
          <cell r="A393" t="str">
            <v>402460</v>
          </cell>
          <cell r="B393" t="str">
            <v>HANARO Fn K-메타버스MZ</v>
          </cell>
        </row>
        <row r="394">
          <cell r="A394" t="str">
            <v>402970</v>
          </cell>
          <cell r="B394" t="str">
            <v>KINDEX 미국고배당S&amp;P</v>
          </cell>
        </row>
        <row r="395">
          <cell r="A395" t="str">
            <v>403990</v>
          </cell>
          <cell r="B395" t="str">
            <v>KBSTAR KRX기후변화솔루션</v>
          </cell>
        </row>
        <row r="396">
          <cell r="A396" t="str">
            <v>404120</v>
          </cell>
          <cell r="B396" t="str">
            <v>TIMEFOLIO 탄소중립액티브</v>
          </cell>
        </row>
        <row r="397">
          <cell r="A397" t="str">
            <v>404260</v>
          </cell>
          <cell r="B397" t="str">
            <v>KODEX KRX기후변화솔루션</v>
          </cell>
        </row>
        <row r="398">
          <cell r="A398" t="str">
            <v>404470</v>
          </cell>
          <cell r="B398" t="str">
            <v>HANARO KRX기후변화솔루션</v>
          </cell>
        </row>
        <row r="399">
          <cell r="A399" t="str">
            <v>404540</v>
          </cell>
          <cell r="B399" t="str">
            <v>TIGER KRX기후변화솔루션</v>
          </cell>
        </row>
        <row r="400">
          <cell r="A400" t="str">
            <v>407300</v>
          </cell>
          <cell r="B400" t="str">
            <v>HANARO Fn골프테마</v>
          </cell>
        </row>
        <row r="401">
          <cell r="A401" t="str">
            <v>407310</v>
          </cell>
          <cell r="B401" t="str">
            <v>HANARO 200 TOP10</v>
          </cell>
        </row>
        <row r="402">
          <cell r="A402" t="str">
            <v>407820</v>
          </cell>
          <cell r="B402" t="str">
            <v>에셋플러스 코리아플랫폼액티브</v>
          </cell>
        </row>
        <row r="403">
          <cell r="A403" t="str">
            <v>407830</v>
          </cell>
          <cell r="B403" t="str">
            <v>에셋플러스 글로벌플랫폼액티브</v>
          </cell>
        </row>
        <row r="404">
          <cell r="A404" t="str">
            <v>409810</v>
          </cell>
          <cell r="B404" t="str">
            <v>KODEX 미국나스닥100선물인버스(H)</v>
          </cell>
        </row>
        <row r="405">
          <cell r="A405" t="str">
            <v>409820</v>
          </cell>
          <cell r="B405" t="str">
            <v>KODEX 미국나스닥100레버리지(합성 H)</v>
          </cell>
        </row>
        <row r="406">
          <cell r="A406" t="str">
            <v>410870</v>
          </cell>
          <cell r="B406" t="str">
            <v>TIMEFOLIO K컬처액티브</v>
          </cell>
        </row>
        <row r="407">
          <cell r="A407" t="str">
            <v>411540</v>
          </cell>
          <cell r="B407" t="str">
            <v>SOL 200 Top10</v>
          </cell>
        </row>
        <row r="408">
          <cell r="A408" t="str">
            <v>411720</v>
          </cell>
          <cell r="B408" t="str">
            <v>KBSTAR 글로벌메타버스Moorgate</v>
          </cell>
        </row>
        <row r="409">
          <cell r="A409" t="str">
            <v>411860</v>
          </cell>
          <cell r="B409" t="str">
            <v>KOSEF 독일DAX</v>
          </cell>
        </row>
        <row r="410">
          <cell r="A410" t="str">
            <v>412770</v>
          </cell>
          <cell r="B410" t="str">
            <v>TIGER 글로벌메타버스액티브</v>
          </cell>
        </row>
        <row r="411">
          <cell r="A411" t="str">
            <v>414780</v>
          </cell>
          <cell r="B411" t="str">
            <v>TIGER 차이나과창판STAR50(합성)</v>
          </cell>
        </row>
        <row r="412">
          <cell r="A412" t="str">
            <v>415340</v>
          </cell>
          <cell r="B412" t="str">
            <v>KODEX 차이나과창판STAR50(합성)</v>
          </cell>
        </row>
        <row r="413">
          <cell r="A413" t="str">
            <v>417450</v>
          </cell>
          <cell r="B413" t="str">
            <v>KBSTAR 글로벌수소경제Indxx</v>
          </cell>
        </row>
        <row r="414">
          <cell r="A414" t="str">
            <v>417630</v>
          </cell>
          <cell r="B414" t="str">
            <v>TIGER KEDI혁신기업ESG30</v>
          </cell>
        </row>
        <row r="415">
          <cell r="A415" t="str">
            <v>418660</v>
          </cell>
          <cell r="B415" t="str">
            <v>TIGER 미국나스닥100레버리지(합성)</v>
          </cell>
        </row>
        <row r="416">
          <cell r="A416" t="str">
            <v>419420</v>
          </cell>
          <cell r="B416" t="str">
            <v>KODEX 미국클린에너지나스닥</v>
          </cell>
        </row>
        <row r="417">
          <cell r="A417" t="str">
            <v>419430</v>
          </cell>
          <cell r="B417" t="str">
            <v>KODEX 차이나2차전지MSCI(합성)</v>
          </cell>
        </row>
        <row r="418">
          <cell r="A418" t="str">
            <v>421320</v>
          </cell>
          <cell r="B418" t="str">
            <v>ARIRANG iSelect우주항공&amp;UAM</v>
          </cell>
        </row>
        <row r="419">
          <cell r="A419" t="str">
            <v>422420</v>
          </cell>
          <cell r="B419" t="str">
            <v>KBSTAR 2차전지액티브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9"/>
  <sheetViews>
    <sheetView tabSelected="1" topLeftCell="B1" workbookViewId="0">
      <pane ySplit="1" topLeftCell="A2" activePane="bottomLeft" state="frozen"/>
      <selection pane="bottomLeft" activeCell="O11" sqref="O11"/>
    </sheetView>
  </sheetViews>
  <sheetFormatPr defaultColWidth="9" defaultRowHeight="16" x14ac:dyDescent="0.45"/>
  <cols>
    <col min="1" max="1" width="9" style="1"/>
    <col min="2" max="2" width="23.33203125" style="1" customWidth="1"/>
    <col min="3" max="3" width="12.08203125" style="1" bestFit="1" customWidth="1"/>
    <col min="4" max="4" width="12.08203125" style="1" customWidth="1"/>
    <col min="5" max="6" width="9" style="1"/>
    <col min="7" max="7" width="12.08203125" style="1" bestFit="1" customWidth="1"/>
    <col min="8" max="8" width="2.33203125" style="1" customWidth="1"/>
    <col min="9" max="13" width="9" style="1"/>
    <col min="14" max="14" width="9" style="2"/>
    <col min="15" max="15" width="29.5" style="2" bestFit="1" customWidth="1"/>
    <col min="16" max="17" width="9" style="2"/>
    <col min="18" max="18" width="10.08203125" style="7" customWidth="1"/>
    <col min="19" max="16384" width="9" style="1"/>
  </cols>
  <sheetData>
    <row r="1" spans="1:18" ht="39" customHeight="1" x14ac:dyDescent="0.45">
      <c r="A1" s="9" t="s">
        <v>0</v>
      </c>
      <c r="B1" s="9" t="s">
        <v>1</v>
      </c>
      <c r="C1" s="10" t="s">
        <v>420</v>
      </c>
      <c r="D1" s="10" t="s">
        <v>842</v>
      </c>
      <c r="E1" s="10" t="s">
        <v>421</v>
      </c>
      <c r="F1" s="10" t="s">
        <v>422</v>
      </c>
      <c r="G1" s="10" t="s">
        <v>841</v>
      </c>
      <c r="H1" s="11"/>
      <c r="I1" s="9" t="s">
        <v>843</v>
      </c>
      <c r="J1" s="9" t="s">
        <v>844</v>
      </c>
      <c r="K1" s="11"/>
      <c r="L1" s="11"/>
      <c r="M1" s="9" t="s">
        <v>845</v>
      </c>
      <c r="N1" s="9" t="s">
        <v>846</v>
      </c>
      <c r="O1" s="9" t="s">
        <v>847</v>
      </c>
      <c r="P1" s="10" t="s">
        <v>848</v>
      </c>
      <c r="Q1" s="9" t="s">
        <v>849</v>
      </c>
      <c r="R1" s="12" t="s">
        <v>850</v>
      </c>
    </row>
    <row r="2" spans="1:18" x14ac:dyDescent="0.45">
      <c r="A2" s="3" t="s">
        <v>423</v>
      </c>
      <c r="B2" s="1" t="s">
        <v>2</v>
      </c>
      <c r="C2" s="5">
        <v>0.01</v>
      </c>
      <c r="D2" s="4">
        <v>35805</v>
      </c>
      <c r="E2" s="4">
        <v>35815</v>
      </c>
      <c r="F2" s="4">
        <v>35805</v>
      </c>
      <c r="G2" s="5">
        <v>2.7929060187124703E-4</v>
      </c>
      <c r="H2" s="6"/>
      <c r="I2" s="2" t="str">
        <f>IF(G2&gt;C2, "ERROR", "-")</f>
        <v>-</v>
      </c>
      <c r="J2" s="1" t="str">
        <f>IF(I2="ERROR",SoundMe(),"")</f>
        <v/>
      </c>
      <c r="M2" s="2" t="str">
        <f t="array" ref="M2">IFERROR(INDEX(I:I,SMALL(IF($I$2:$I$450="ERROR", ROW($I$2:$I$450)),ROW()-1)), "")</f>
        <v>ERROR</v>
      </c>
      <c r="N2" s="2" t="str">
        <f t="array" ref="N2">IFERROR(INDEX(A:A,SMALL(IF($I$2:$I$450="ERROR", ROW($A$2:$A$450)),ROW()-1)), "")</f>
        <v>100910</v>
      </c>
      <c r="O2" s="2" t="str">
        <f t="array" ref="O2">IFERROR(INDEX(B:B,SMALL(IF($I$2:$I$450="ERROR", ROW($B$2:$B$450)),ROW()-1)), "")</f>
        <v>KOSEF KRX100</v>
      </c>
      <c r="P2" s="5">
        <f t="array" ref="P2">IFERROR(INDEX(C:C,SMALL(IF($I$2:$I$450="ERROR", ROW($C$2:$C$450)),ROW()-1)), "")</f>
        <v>0</v>
      </c>
      <c r="Q2" s="5">
        <f t="array" ref="Q2">IFERROR(INDEX(G:G,SMALL(IF($I$2:$I$450="ERROR", ROW($G$2:$G$450)),ROW()-1)), "")</f>
        <v>8.9047195013357077E-4</v>
      </c>
      <c r="R2" s="8">
        <f>IFERROR(Q2-P2,"")</f>
        <v>8.9047195013357077E-4</v>
      </c>
    </row>
    <row r="3" spans="1:18" x14ac:dyDescent="0.45">
      <c r="A3" s="3" t="s">
        <v>424</v>
      </c>
      <c r="B3" s="1" t="s">
        <v>3</v>
      </c>
      <c r="C3" s="5">
        <v>0.01</v>
      </c>
      <c r="D3" s="4">
        <v>35840</v>
      </c>
      <c r="E3" s="4">
        <v>35840</v>
      </c>
      <c r="F3" s="4">
        <v>35820</v>
      </c>
      <c r="G3" s="5">
        <v>5.5803571428571425E-4</v>
      </c>
      <c r="H3" s="6"/>
      <c r="I3" s="2" t="str">
        <f t="shared" ref="I3:I66" si="0">IF(G3&gt;C3, "ERROR", "-")</f>
        <v>-</v>
      </c>
      <c r="J3" s="1" t="str">
        <f>IF(I3="ERROR",BeepMe(),"")</f>
        <v/>
      </c>
      <c r="M3" s="2" t="str">
        <f t="array" ref="M3">IFERROR(INDEX(I:I,SMALL(IF($I$2:$I$450="ERROR", ROW($I$2:$I$450)),ROW()-1)), "")</f>
        <v>ERROR</v>
      </c>
      <c r="N3" s="2" t="str">
        <f t="array" ref="N3">IFERROR(INDEX(A:A,SMALL(IF($I$2:$I$450="ERROR", ROW($A$2:$A$450)),ROW()-1)), "")</f>
        <v>114260</v>
      </c>
      <c r="O3" s="2" t="str">
        <f t="array" ref="O3">IFERROR(INDEX(B:B,SMALL(IF($I$2:$I$450="ERROR", ROW($B$2:$B$450)),ROW()-1)), "")</f>
        <v>KODEX 국고채3년</v>
      </c>
      <c r="P3" s="5">
        <f t="array" ref="P3">IFERROR(INDEX(C:C,SMALL(IF($I$2:$I$450="ERROR", ROW($C$2:$C$450)),ROW()-1)), "")</f>
        <v>0</v>
      </c>
      <c r="Q3" s="5">
        <f t="array" ref="Q3">IFERROR(INDEX(G:G,SMALL(IF($I$2:$I$450="ERROR", ROW($G$2:$G$450)),ROW()-1)), "")</f>
        <v>9.7708296322615031E-4</v>
      </c>
      <c r="R3" s="8">
        <f t="shared" ref="R3:R66" si="1">IFERROR(Q3-P3,"")</f>
        <v>9.7708296322615031E-4</v>
      </c>
    </row>
    <row r="4" spans="1:18" x14ac:dyDescent="0.45">
      <c r="A4" s="3" t="s">
        <v>425</v>
      </c>
      <c r="B4" s="1" t="s">
        <v>4</v>
      </c>
      <c r="C4" s="5">
        <v>0.01</v>
      </c>
      <c r="D4" s="4">
        <v>35450</v>
      </c>
      <c r="E4" s="4">
        <v>35460</v>
      </c>
      <c r="F4" s="4">
        <v>35450</v>
      </c>
      <c r="G4" s="5">
        <v>2.8208744710860365E-4</v>
      </c>
      <c r="H4" s="6"/>
      <c r="I4" s="2" t="str">
        <f t="shared" si="0"/>
        <v>-</v>
      </c>
      <c r="J4" s="1" t="str">
        <f>IF(I4="ERROR",BeepMe(),"")</f>
        <v/>
      </c>
      <c r="M4" s="2" t="str">
        <f t="array" ref="M4">IFERROR(INDEX(I:I,SMALL(IF($I$2:$I$450="ERROR", ROW($I$2:$I$450)),ROW()-1)), "")</f>
        <v>ERROR</v>
      </c>
      <c r="N4" s="2" t="str">
        <f t="array" ref="N4">IFERROR(INDEX(A:A,SMALL(IF($I$2:$I$450="ERROR", ROW($A$2:$A$450)),ROW()-1)), "")</f>
        <v>114470</v>
      </c>
      <c r="O4" s="2" t="str">
        <f t="array" ref="O4">IFERROR(INDEX(B:B,SMALL(IF($I$2:$I$450="ERROR", ROW($B$2:$B$450)),ROW()-1)), "")</f>
        <v>KOSEF 국고채3년</v>
      </c>
      <c r="P4" s="5">
        <f t="array" ref="P4">IFERROR(INDEX(C:C,SMALL(IF($I$2:$I$450="ERROR", ROW($C$2:$C$450)),ROW()-1)), "")</f>
        <v>0</v>
      </c>
      <c r="Q4" s="5">
        <f t="array" ref="Q4">IFERROR(INDEX(G:G,SMALL(IF($I$2:$I$450="ERROR", ROW($G$2:$G$450)),ROW()-1)), "")</f>
        <v>5.5437494225261019E-4</v>
      </c>
      <c r="R4" s="8">
        <f t="shared" si="1"/>
        <v>5.5437494225261019E-4</v>
      </c>
    </row>
    <row r="5" spans="1:18" x14ac:dyDescent="0.45">
      <c r="A5" s="3" t="s">
        <v>426</v>
      </c>
      <c r="B5" s="1" t="s">
        <v>5</v>
      </c>
      <c r="C5" s="5">
        <v>0.01</v>
      </c>
      <c r="D5" s="4">
        <v>7950</v>
      </c>
      <c r="E5" s="4">
        <v>7955</v>
      </c>
      <c r="F5" s="4">
        <v>7950</v>
      </c>
      <c r="G5" s="5">
        <v>6.2893081761006286E-4</v>
      </c>
      <c r="H5" s="6"/>
      <c r="I5" s="2" t="str">
        <f t="shared" si="0"/>
        <v>-</v>
      </c>
      <c r="J5" s="1" t="str">
        <f>IF(I5="ERROR",BeepMe(),"")</f>
        <v/>
      </c>
      <c r="M5" s="2" t="str">
        <f t="array" ref="M5">IFERROR(INDEX(I:I,SMALL(IF($I$2:$I$450="ERROR", ROW($I$2:$I$450)),ROW()-1)), "")</f>
        <v>ERROR</v>
      </c>
      <c r="N5" s="2" t="str">
        <f t="array" ref="N5">IFERROR(INDEX(A:A,SMALL(IF($I$2:$I$450="ERROR", ROW($A$2:$A$450)),ROW()-1)), "")</f>
        <v>114820</v>
      </c>
      <c r="O5" s="2" t="str">
        <f t="array" ref="O5">IFERROR(INDEX(B:B,SMALL(IF($I$2:$I$450="ERROR", ROW($B$2:$B$450)),ROW()-1)), "")</f>
        <v>TIGER 국채3년</v>
      </c>
      <c r="P5" s="5">
        <f t="array" ref="P5">IFERROR(INDEX(C:C,SMALL(IF($I$2:$I$450="ERROR", ROW($C$2:$C$450)),ROW()-1)), "")</f>
        <v>0</v>
      </c>
      <c r="Q5" s="5">
        <f t="array" ref="Q5">IFERROR(INDEX(G:G,SMALL(IF($I$2:$I$450="ERROR", ROW($G$2:$G$450)),ROW()-1)), "")</f>
        <v>3.7523452157598499E-4</v>
      </c>
      <c r="R5" s="8">
        <f t="shared" si="1"/>
        <v>3.7523452157598499E-4</v>
      </c>
    </row>
    <row r="6" spans="1:18" x14ac:dyDescent="0.45">
      <c r="A6" s="3" t="s">
        <v>427</v>
      </c>
      <c r="B6" s="1" t="s">
        <v>6</v>
      </c>
      <c r="C6" s="5">
        <v>0.01</v>
      </c>
      <c r="D6" s="4">
        <v>18370</v>
      </c>
      <c r="E6" s="4">
        <v>18370</v>
      </c>
      <c r="F6" s="4">
        <v>18365</v>
      </c>
      <c r="G6" s="5">
        <v>2.7218290691344586E-4</v>
      </c>
      <c r="H6" s="6"/>
      <c r="I6" s="2" t="str">
        <f t="shared" si="0"/>
        <v>-</v>
      </c>
      <c r="J6" s="1" t="str">
        <f>IF(I6="ERROR",BeepMe(),"")</f>
        <v/>
      </c>
      <c r="M6" s="2" t="str">
        <f t="array" ref="M6">IFERROR(INDEX(I:I,SMALL(IF($I$2:$I$450="ERROR", ROW($I$2:$I$450)),ROW()-1)), "")</f>
        <v>ERROR</v>
      </c>
      <c r="N6" s="2" t="str">
        <f t="array" ref="N6">IFERROR(INDEX(A:A,SMALL(IF($I$2:$I$450="ERROR", ROW($A$2:$A$450)),ROW()-1)), "")</f>
        <v>122260</v>
      </c>
      <c r="O6" s="2" t="str">
        <f t="array" ref="O6">IFERROR(INDEX(B:B,SMALL(IF($I$2:$I$450="ERROR", ROW($B$2:$B$450)),ROW()-1)), "")</f>
        <v>KOSEF 통안채1년</v>
      </c>
      <c r="P6" s="5">
        <f t="array" ref="P6">IFERROR(INDEX(C:C,SMALL(IF($I$2:$I$450="ERROR", ROW($C$2:$C$450)),ROW()-1)), "")</f>
        <v>0</v>
      </c>
      <c r="Q6" s="5">
        <f t="array" ref="Q6">IFERROR(INDEX(G:G,SMALL(IF($I$2:$I$450="ERROR", ROW($G$2:$G$450)),ROW()-1)), "")</f>
        <v>4.9500049500049503E-5</v>
      </c>
      <c r="R6" s="8">
        <f t="shared" si="1"/>
        <v>4.9500049500049503E-5</v>
      </c>
    </row>
    <row r="7" spans="1:18" x14ac:dyDescent="0.45">
      <c r="A7" s="3" t="s">
        <v>428</v>
      </c>
      <c r="B7" s="1" t="s">
        <v>7</v>
      </c>
      <c r="C7" s="5">
        <v>0.01</v>
      </c>
      <c r="D7" s="4">
        <v>8305</v>
      </c>
      <c r="E7" s="4">
        <v>8305</v>
      </c>
      <c r="F7" s="4">
        <v>8295</v>
      </c>
      <c r="G7" s="5">
        <v>1.2040939193257074E-3</v>
      </c>
      <c r="H7" s="6"/>
      <c r="I7" s="2" t="str">
        <f t="shared" si="0"/>
        <v>-</v>
      </c>
      <c r="J7" s="1" t="str">
        <f>IF(I7="ERROR",BeepMe(),"")</f>
        <v/>
      </c>
      <c r="M7" s="2" t="str">
        <f t="array" ref="M7">IFERROR(INDEX(I:I,SMALL(IF($I$2:$I$450="ERROR", ROW($I$2:$I$450)),ROW()-1)), "")</f>
        <v>ERROR</v>
      </c>
      <c r="N7" s="2" t="str">
        <f t="array" ref="N7">IFERROR(INDEX(A:A,SMALL(IF($I$2:$I$450="ERROR", ROW($A$2:$A$450)),ROW()-1)), "")</f>
        <v>123320</v>
      </c>
      <c r="O7" s="2" t="str">
        <f t="array" ref="O7">IFERROR(INDEX(B:B,SMALL(IF($I$2:$I$450="ERROR", ROW($B$2:$B$450)),ROW()-1)), "")</f>
        <v>TIGER 레버리지</v>
      </c>
      <c r="P7" s="5">
        <f t="array" ref="P7">IFERROR(INDEX(C:C,SMALL(IF($I$2:$I$450="ERROR", ROW($C$2:$C$450)),ROW()-1)), "")</f>
        <v>0</v>
      </c>
      <c r="Q7" s="5">
        <f t="array" ref="Q7">IFERROR(INDEX(G:G,SMALL(IF($I$2:$I$450="ERROR", ROW($G$2:$G$450)),ROW()-1)), "")</f>
        <v>2.7525461051472613E-4</v>
      </c>
      <c r="R7" s="8">
        <f t="shared" si="1"/>
        <v>2.7525461051472613E-4</v>
      </c>
    </row>
    <row r="8" spans="1:18" x14ac:dyDescent="0.45">
      <c r="A8" s="3" t="s">
        <v>429</v>
      </c>
      <c r="B8" s="1" t="s">
        <v>8</v>
      </c>
      <c r="C8" s="5">
        <v>0.01</v>
      </c>
      <c r="D8" s="4">
        <v>36530</v>
      </c>
      <c r="E8" s="4">
        <v>36550</v>
      </c>
      <c r="F8" s="4">
        <v>36530</v>
      </c>
      <c r="G8" s="5">
        <v>5.4749520941691757E-4</v>
      </c>
      <c r="H8" s="6"/>
      <c r="I8" s="2" t="str">
        <f t="shared" si="0"/>
        <v>-</v>
      </c>
      <c r="J8" s="1" t="str">
        <f>IF(I8="ERROR",BeepMe(),"")</f>
        <v/>
      </c>
      <c r="M8" s="2" t="str">
        <f t="array" ref="M8">IFERROR(INDEX(I:I,SMALL(IF($I$2:$I$450="ERROR", ROW($I$2:$I$450)),ROW()-1)), "")</f>
        <v>ERROR</v>
      </c>
      <c r="N8" s="2" t="str">
        <f t="array" ref="N8">IFERROR(INDEX(A:A,SMALL(IF($I$2:$I$450="ERROR", ROW($A$2:$A$450)),ROW()-1)), "")</f>
        <v>130730</v>
      </c>
      <c r="O8" s="2" t="str">
        <f t="array" ref="O8">IFERROR(INDEX(B:B,SMALL(IF($I$2:$I$450="ERROR", ROW($B$2:$B$450)),ROW()-1)), "")</f>
        <v>KOSEF 단기자금</v>
      </c>
      <c r="P8" s="5">
        <f t="array" ref="P8">IFERROR(INDEX(C:C,SMALL(IF($I$2:$I$450="ERROR", ROW($C$2:$C$450)),ROW()-1)), "")</f>
        <v>0</v>
      </c>
      <c r="Q8" s="5">
        <f t="array" ref="Q8">IFERROR(INDEX(G:G,SMALL(IF($I$2:$I$450="ERROR", ROW($G$2:$G$450)),ROW()-1)), "")</f>
        <v>4.9407114624505928E-5</v>
      </c>
      <c r="R8" s="8">
        <f t="shared" si="1"/>
        <v>4.9407114624505928E-5</v>
      </c>
    </row>
    <row r="9" spans="1:18" x14ac:dyDescent="0.45">
      <c r="A9" s="3" t="s">
        <v>430</v>
      </c>
      <c r="B9" s="1" t="s">
        <v>9</v>
      </c>
      <c r="C9" s="5">
        <v>0.01</v>
      </c>
      <c r="D9" s="4">
        <v>10020</v>
      </c>
      <c r="E9" s="4">
        <v>10055</v>
      </c>
      <c r="F9" s="4">
        <v>10020</v>
      </c>
      <c r="G9" s="5">
        <v>3.4930139720558881E-3</v>
      </c>
      <c r="H9" s="6"/>
      <c r="I9" s="2" t="str">
        <f t="shared" si="0"/>
        <v>-</v>
      </c>
      <c r="J9" s="1" t="str">
        <f>IF(I9="ERROR",BeepMe(),"")</f>
        <v/>
      </c>
      <c r="M9" s="2" t="str">
        <f t="array" ref="M9">IFERROR(INDEX(I:I,SMALL(IF($I$2:$I$450="ERROR", ROW($I$2:$I$450)),ROW()-1)), "")</f>
        <v>ERROR</v>
      </c>
      <c r="N9" s="2" t="str">
        <f t="array" ref="N9">IFERROR(INDEX(A:A,SMALL(IF($I$2:$I$450="ERROR", ROW($A$2:$A$450)),ROW()-1)), "")</f>
        <v>140710</v>
      </c>
      <c r="O9" s="2" t="str">
        <f t="array" ref="O9">IFERROR(INDEX(B:B,SMALL(IF($I$2:$I$450="ERROR", ROW($B$2:$B$450)),ROW()-1)), "")</f>
        <v>KODEX 운송</v>
      </c>
      <c r="P9" s="5">
        <f t="array" ref="P9">IFERROR(INDEX(C:C,SMALL(IF($I$2:$I$450="ERROR", ROW($C$2:$C$450)),ROW()-1)), "")</f>
        <v>0</v>
      </c>
      <c r="Q9" s="5">
        <f t="array" ref="Q9">IFERROR(INDEX(G:G,SMALL(IF($I$2:$I$450="ERROR", ROW($G$2:$G$450)),ROW()-1)), "")</f>
        <v>1.6116035455278001E-3</v>
      </c>
      <c r="R9" s="8">
        <f t="shared" si="1"/>
        <v>1.6116035455278001E-3</v>
      </c>
    </row>
    <row r="10" spans="1:18" x14ac:dyDescent="0.45">
      <c r="A10" s="3" t="s">
        <v>431</v>
      </c>
      <c r="B10" s="1" t="s">
        <v>10</v>
      </c>
      <c r="C10" s="5">
        <v>0.03</v>
      </c>
      <c r="D10" s="4">
        <v>16195</v>
      </c>
      <c r="E10" s="4">
        <v>16195</v>
      </c>
      <c r="F10" s="4">
        <v>16080</v>
      </c>
      <c r="G10" s="5">
        <v>7.1009570855202226E-3</v>
      </c>
      <c r="H10" s="6"/>
      <c r="I10" s="2" t="str">
        <f t="shared" si="0"/>
        <v>-</v>
      </c>
      <c r="J10" s="1" t="str">
        <f>IF(I10="ERROR",BeepMe(),"")</f>
        <v/>
      </c>
      <c r="M10" s="2" t="str">
        <f t="array" ref="M10">IFERROR(INDEX(I:I,SMALL(IF($I$2:$I$450="ERROR", ROW($I$2:$I$450)),ROW()-1)), "")</f>
        <v>ERROR</v>
      </c>
      <c r="N10" s="2" t="str">
        <f t="array" ref="N10">IFERROR(INDEX(A:A,SMALL(IF($I$2:$I$450="ERROR", ROW($A$2:$A$450)),ROW()-1)), "")</f>
        <v>145850</v>
      </c>
      <c r="O10" s="2" t="str">
        <f t="array" ref="O10">IFERROR(INDEX(B:B,SMALL(IF($I$2:$I$450="ERROR", ROW($B$2:$B$450)),ROW()-1)), "")</f>
        <v>TREX 펀더멘탈 200</v>
      </c>
      <c r="P10" s="5">
        <f t="array" ref="P10">IFERROR(INDEX(C:C,SMALL(IF($I$2:$I$450="ERROR", ROW($C$2:$C$450)),ROW()-1)), "")</f>
        <v>0</v>
      </c>
      <c r="Q10" s="5">
        <f t="array" ref="Q10">IFERROR(INDEX(G:G,SMALL(IF($I$2:$I$450="ERROR", ROW($G$2:$G$450)),ROW()-1)), "")</f>
        <v>2.5536261491317672E-4</v>
      </c>
      <c r="R10" s="8">
        <f t="shared" si="1"/>
        <v>2.5536261491317672E-4</v>
      </c>
    </row>
    <row r="11" spans="1:18" x14ac:dyDescent="0.45">
      <c r="A11" s="3" t="s">
        <v>432</v>
      </c>
      <c r="B11" s="1" t="s">
        <v>11</v>
      </c>
      <c r="C11" s="5">
        <v>0</v>
      </c>
      <c r="D11" s="4">
        <v>5615</v>
      </c>
      <c r="E11" s="4">
        <v>5615</v>
      </c>
      <c r="F11" s="4">
        <v>5610</v>
      </c>
      <c r="G11" s="5">
        <v>8.9047195013357077E-4</v>
      </c>
      <c r="H11" s="6"/>
      <c r="I11" s="2" t="str">
        <f t="shared" si="0"/>
        <v>ERROR</v>
      </c>
      <c r="J11" s="1" t="str">
        <f>IF(I11="ERROR",BeepMe(),"")</f>
        <v/>
      </c>
      <c r="M11" s="2" t="str">
        <f t="array" ref="M11">IFERROR(INDEX(I:I,SMALL(IF($I$2:$I$450="ERROR", ROW($I$2:$I$450)),ROW()-1)), "")</f>
        <v>ERROR</v>
      </c>
      <c r="N11" s="2" t="str">
        <f t="array" ref="N11">IFERROR(INDEX(A:A,SMALL(IF($I$2:$I$450="ERROR", ROW($A$2:$A$450)),ROW()-1)), "")</f>
        <v>148070</v>
      </c>
      <c r="O11" s="2" t="str">
        <f t="array" ref="O11">IFERROR(INDEX(B:B,SMALL(IF($I$2:$I$450="ERROR", ROW($B$2:$B$450)),ROW()-1)), "")</f>
        <v>KOSEF 국고채10년</v>
      </c>
      <c r="P11" s="5">
        <f t="array" ref="P11">IFERROR(INDEX(C:C,SMALL(IF($I$2:$I$450="ERROR", ROW($C$2:$C$450)),ROW()-1)), "")</f>
        <v>0</v>
      </c>
      <c r="Q11" s="5">
        <f t="array" ref="Q11">IFERROR(INDEX(G:G,SMALL(IF($I$2:$I$450="ERROR", ROW($G$2:$G$450)),ROW()-1)), "")</f>
        <v>9.9479990956364466E-4</v>
      </c>
      <c r="R11" s="8">
        <f t="shared" si="1"/>
        <v>9.9479990956364466E-4</v>
      </c>
    </row>
    <row r="12" spans="1:18" x14ac:dyDescent="0.45">
      <c r="A12" s="3" t="s">
        <v>433</v>
      </c>
      <c r="B12" s="1" t="s">
        <v>12</v>
      </c>
      <c r="C12" s="5">
        <v>0.01</v>
      </c>
      <c r="D12" s="4">
        <v>35865</v>
      </c>
      <c r="E12" s="4">
        <v>35865</v>
      </c>
      <c r="F12" s="4">
        <v>35860</v>
      </c>
      <c r="G12" s="5">
        <v>1.3941168269901018E-4</v>
      </c>
      <c r="H12" s="6"/>
      <c r="I12" s="2" t="str">
        <f t="shared" si="0"/>
        <v>-</v>
      </c>
      <c r="J12" s="1" t="str">
        <f>IF(I12="ERROR",BeepMe(),"")</f>
        <v/>
      </c>
      <c r="M12" s="2" t="str">
        <f t="array" ref="M12">IFERROR(INDEX(I:I,SMALL(IF($I$2:$I$450="ERROR", ROW($I$2:$I$450)),ROW()-1)), "")</f>
        <v>ERROR</v>
      </c>
      <c r="N12" s="2" t="str">
        <f t="array" ref="N12">IFERROR(INDEX(A:A,SMALL(IF($I$2:$I$450="ERROR", ROW($A$2:$A$450)),ROW()-1)), "")</f>
        <v>152380</v>
      </c>
      <c r="O12" s="2" t="str">
        <f t="array" ref="O12">IFERROR(INDEX(B:B,SMALL(IF($I$2:$I$450="ERROR", ROW($B$2:$B$450)),ROW()-1)), "")</f>
        <v>KODEX 국채선물10년</v>
      </c>
      <c r="P12" s="5">
        <f t="array" ref="P12">IFERROR(INDEX(C:C,SMALL(IF($I$2:$I$450="ERROR", ROW($C$2:$C$450)),ROW()-1)), "")</f>
        <v>0</v>
      </c>
      <c r="Q12" s="5">
        <f t="array" ref="Q12">IFERROR(INDEX(G:G,SMALL(IF($I$2:$I$450="ERROR", ROW($G$2:$G$450)),ROW()-1)), "")</f>
        <v>3.9314357603396758E-4</v>
      </c>
      <c r="R12" s="8">
        <f t="shared" si="1"/>
        <v>3.9314357603396758E-4</v>
      </c>
    </row>
    <row r="13" spans="1:18" x14ac:dyDescent="0.45">
      <c r="A13" s="3" t="s">
        <v>434</v>
      </c>
      <c r="B13" s="1" t="s">
        <v>13</v>
      </c>
      <c r="C13" s="5">
        <v>0.01</v>
      </c>
      <c r="D13" s="4">
        <v>9150</v>
      </c>
      <c r="E13" s="4">
        <v>9150</v>
      </c>
      <c r="F13" s="4">
        <v>9145</v>
      </c>
      <c r="G13" s="5">
        <v>5.4644808743169399E-4</v>
      </c>
      <c r="H13" s="6"/>
      <c r="I13" s="2" t="str">
        <f t="shared" si="0"/>
        <v>-</v>
      </c>
      <c r="J13" s="1" t="str">
        <f>IF(I13="ERROR",BeepMe(),"")</f>
        <v/>
      </c>
      <c r="M13" s="2" t="str">
        <f t="array" ref="M13">IFERROR(INDEX(I:I,SMALL(IF($I$2:$I$450="ERROR", ROW($I$2:$I$450)),ROW()-1)), "")</f>
        <v>ERROR</v>
      </c>
      <c r="N13" s="2" t="str">
        <f t="array" ref="N13">IFERROR(INDEX(A:A,SMALL(IF($I$2:$I$450="ERROR", ROW($A$2:$A$450)),ROW()-1)), "")</f>
        <v>153130</v>
      </c>
      <c r="O13" s="2" t="str">
        <f t="array" ref="O13">IFERROR(INDEX(B:B,SMALL(IF($I$2:$I$450="ERROR", ROW($B$2:$B$450)),ROW()-1)), "")</f>
        <v>KODEX 단기채권</v>
      </c>
      <c r="P13" s="5">
        <f t="array" ref="P13">IFERROR(INDEX(C:C,SMALL(IF($I$2:$I$450="ERROR", ROW($C$2:$C$450)),ROW()-1)), "")</f>
        <v>0</v>
      </c>
      <c r="Q13" s="5">
        <f t="array" ref="Q13">IFERROR(INDEX(G:G,SMALL(IF($I$2:$I$450="ERROR", ROW($G$2:$G$450)),ROW()-1)), "")</f>
        <v>9.6828854998789638E-5</v>
      </c>
      <c r="R13" s="8">
        <f t="shared" si="1"/>
        <v>9.6828854998789638E-5</v>
      </c>
    </row>
    <row r="14" spans="1:18" x14ac:dyDescent="0.45">
      <c r="A14" s="3" t="s">
        <v>435</v>
      </c>
      <c r="B14" s="1" t="s">
        <v>14</v>
      </c>
      <c r="C14" s="5">
        <v>0.01</v>
      </c>
      <c r="D14" s="4">
        <v>5690</v>
      </c>
      <c r="E14" s="4">
        <v>5695</v>
      </c>
      <c r="F14" s="4">
        <v>5690</v>
      </c>
      <c r="G14" s="5">
        <v>8.7873462214411243E-4</v>
      </c>
      <c r="H14" s="6"/>
      <c r="I14" s="2" t="str">
        <f t="shared" si="0"/>
        <v>-</v>
      </c>
      <c r="J14" s="1" t="str">
        <f>IF(I14="ERROR",BeepMe(),"")</f>
        <v/>
      </c>
      <c r="M14" s="2" t="str">
        <f t="array" ref="M14">IFERROR(INDEX(I:I,SMALL(IF($I$2:$I$450="ERROR", ROW($I$2:$I$450)),ROW()-1)), "")</f>
        <v>ERROR</v>
      </c>
      <c r="N14" s="2" t="str">
        <f t="array" ref="N14">IFERROR(INDEX(A:A,SMALL(IF($I$2:$I$450="ERROR", ROW($A$2:$A$450)),ROW()-1)), "")</f>
        <v>156080</v>
      </c>
      <c r="O14" s="2" t="str">
        <f t="array" ref="O14">IFERROR(INDEX(B:B,SMALL(IF($I$2:$I$450="ERROR", ROW($B$2:$B$450)),ROW()-1)), "")</f>
        <v>KODEX MSCI Korea</v>
      </c>
      <c r="P14" s="5">
        <f t="array" ref="P14">IFERROR(INDEX(C:C,SMALL(IF($I$2:$I$450="ERROR", ROW($C$2:$C$450)),ROW()-1)), "")</f>
        <v>0</v>
      </c>
      <c r="Q14" s="5">
        <f t="array" ref="Q14">IFERROR(INDEX(G:G,SMALL(IF($I$2:$I$450="ERROR", ROW($G$2:$G$450)),ROW()-1)), "")</f>
        <v>1.199040767386091E-3</v>
      </c>
      <c r="R14" s="8">
        <f t="shared" si="1"/>
        <v>1.199040767386091E-3</v>
      </c>
    </row>
    <row r="15" spans="1:18" x14ac:dyDescent="0.45">
      <c r="A15" s="3" t="s">
        <v>436</v>
      </c>
      <c r="B15" s="1" t="s">
        <v>15</v>
      </c>
      <c r="C15" s="5">
        <v>0.01</v>
      </c>
      <c r="D15" s="4">
        <v>7820</v>
      </c>
      <c r="E15" s="4">
        <v>7840</v>
      </c>
      <c r="F15" s="4">
        <v>7820</v>
      </c>
      <c r="G15" s="5">
        <v>2.5575447570332483E-3</v>
      </c>
      <c r="H15" s="6"/>
      <c r="I15" s="2" t="str">
        <f t="shared" si="0"/>
        <v>-</v>
      </c>
      <c r="J15" s="1" t="str">
        <f>IF(I15="ERROR",BeepMe(),"")</f>
        <v/>
      </c>
      <c r="M15" s="2" t="str">
        <f t="array" ref="M15">IFERROR(INDEX(I:I,SMALL(IF($I$2:$I$450="ERROR", ROW($I$2:$I$450)),ROW()-1)), "")</f>
        <v>ERROR</v>
      </c>
      <c r="N15" s="2" t="str">
        <f t="array" ref="N15">IFERROR(INDEX(A:A,SMALL(IF($I$2:$I$450="ERROR", ROW($A$2:$A$450)),ROW()-1)), "")</f>
        <v>166400</v>
      </c>
      <c r="O15" s="2" t="str">
        <f t="array" ref="O15">IFERROR(INDEX(B:B,SMALL(IF($I$2:$I$450="ERROR", ROW($B$2:$B$450)),ROW()-1)), "")</f>
        <v>TIGER 200커버드콜5%OTM</v>
      </c>
      <c r="P15" s="5">
        <f t="array" ref="P15">IFERROR(INDEX(C:C,SMALL(IF($I$2:$I$450="ERROR", ROW($C$2:$C$450)),ROW()-1)), "")</f>
        <v>0</v>
      </c>
      <c r="Q15" s="5">
        <f t="array" ref="Q15">IFERROR(INDEX(G:G,SMALL(IF($I$2:$I$450="ERROR", ROW($G$2:$G$450)),ROW()-1)), "")</f>
        <v>2.206693637366679E-3</v>
      </c>
      <c r="R15" s="8">
        <f t="shared" si="1"/>
        <v>2.206693637366679E-3</v>
      </c>
    </row>
    <row r="16" spans="1:18" x14ac:dyDescent="0.45">
      <c r="A16" s="3" t="s">
        <v>437</v>
      </c>
      <c r="B16" s="1" t="s">
        <v>16</v>
      </c>
      <c r="C16" s="5">
        <v>0.01</v>
      </c>
      <c r="D16" s="4">
        <v>9290</v>
      </c>
      <c r="E16" s="4">
        <v>9290</v>
      </c>
      <c r="F16" s="4">
        <v>9270</v>
      </c>
      <c r="G16" s="5">
        <v>2.1528525296017221E-3</v>
      </c>
      <c r="H16" s="6"/>
      <c r="I16" s="2" t="str">
        <f t="shared" si="0"/>
        <v>-</v>
      </c>
      <c r="J16" s="1" t="str">
        <f>IF(I16="ERROR",BeepMe(),"")</f>
        <v/>
      </c>
      <c r="M16" s="2" t="str">
        <f t="array" ref="M16">IFERROR(INDEX(I:I,SMALL(IF($I$2:$I$450="ERROR", ROW($I$2:$I$450)),ROW()-1)), "")</f>
        <v>ERROR</v>
      </c>
      <c r="N16" s="2" t="str">
        <f t="array" ref="N16">IFERROR(INDEX(A:A,SMALL(IF($I$2:$I$450="ERROR", ROW($A$2:$A$450)),ROW()-1)), "")</f>
        <v>167860</v>
      </c>
      <c r="O16" s="2" t="str">
        <f t="array" ref="O16">IFERROR(INDEX(B:B,SMALL(IF($I$2:$I$450="ERROR", ROW($B$2:$B$450)),ROW()-1)), "")</f>
        <v>KOSEF 국고채10년레버리지</v>
      </c>
      <c r="P16" s="5">
        <f t="array" ref="P16">IFERROR(INDEX(C:C,SMALL(IF($I$2:$I$450="ERROR", ROW($C$2:$C$450)),ROW()-1)), "")</f>
        <v>0</v>
      </c>
      <c r="Q16" s="5">
        <f t="array" ref="Q16">IFERROR(INDEX(G:G,SMALL(IF($I$2:$I$450="ERROR", ROW($G$2:$G$450)),ROW()-1)), "")</f>
        <v>7.4536476288083477E-4</v>
      </c>
      <c r="R16" s="8">
        <f t="shared" si="1"/>
        <v>7.4536476288083477E-4</v>
      </c>
    </row>
    <row r="17" spans="1:18" x14ac:dyDescent="0.45">
      <c r="A17" s="3" t="s">
        <v>438</v>
      </c>
      <c r="B17" s="1" t="s">
        <v>17</v>
      </c>
      <c r="C17" s="5">
        <v>5.0000000000000001E-3</v>
      </c>
      <c r="D17" s="4">
        <v>10210</v>
      </c>
      <c r="E17" s="4">
        <v>10210</v>
      </c>
      <c r="F17" s="4">
        <v>10205</v>
      </c>
      <c r="G17" s="5">
        <v>4.8971596474045055E-4</v>
      </c>
      <c r="H17" s="6"/>
      <c r="I17" s="2" t="str">
        <f t="shared" si="0"/>
        <v>-</v>
      </c>
      <c r="J17" s="1" t="str">
        <f>IF(I17="ERROR",BeepMe(),"")</f>
        <v/>
      </c>
      <c r="M17" s="2" t="str">
        <f t="array" ref="M17">IFERROR(INDEX(I:I,SMALL(IF($I$2:$I$450="ERROR", ROW($I$2:$I$450)),ROW()-1)), "")</f>
        <v>ERROR</v>
      </c>
      <c r="N17" s="2" t="str">
        <f t="array" ref="N17">IFERROR(INDEX(A:A,SMALL(IF($I$2:$I$450="ERROR", ROW($A$2:$A$450)),ROW()-1)), "")</f>
        <v>306950</v>
      </c>
      <c r="O17" s="2" t="str">
        <f t="array" ref="O17">IFERROR(INDEX(B:B,SMALL(IF($I$2:$I$450="ERROR", ROW($B$2:$B$450)),ROW()-1)), "")</f>
        <v>KODEX KRX300레버리지</v>
      </c>
      <c r="P17" s="5">
        <f t="array" ref="P17">IFERROR(INDEX(C:C,SMALL(IF($I$2:$I$450="ERROR", ROW($C$2:$C$450)),ROW()-1)), "")</f>
        <v>5.0000000000000001E-3</v>
      </c>
      <c r="Q17" s="5">
        <f t="array" ref="Q17">IFERROR(INDEX(G:G,SMALL(IF($I$2:$I$450="ERROR", ROW($G$2:$G$450)),ROW()-1)), "")</f>
        <v>6.7001675041876048E-3</v>
      </c>
      <c r="R17" s="8">
        <f t="shared" si="1"/>
        <v>1.7001675041876047E-3</v>
      </c>
    </row>
    <row r="18" spans="1:18" x14ac:dyDescent="0.45">
      <c r="A18" s="3" t="s">
        <v>439</v>
      </c>
      <c r="B18" s="1" t="s">
        <v>18</v>
      </c>
      <c r="C18" s="5">
        <v>0.01</v>
      </c>
      <c r="D18" s="4">
        <v>36130</v>
      </c>
      <c r="E18" s="4">
        <v>36130</v>
      </c>
      <c r="F18" s="4">
        <v>36125</v>
      </c>
      <c r="G18" s="5">
        <v>1.3838915029061721E-4</v>
      </c>
      <c r="H18" s="6"/>
      <c r="I18" s="2" t="str">
        <f t="shared" si="0"/>
        <v>-</v>
      </c>
      <c r="J18" s="1" t="str">
        <f>IF(I18="ERROR",BeepMe(),"")</f>
        <v/>
      </c>
      <c r="M18" s="2" t="str">
        <f t="array" ref="M18">IFERROR(INDEX(I:I,SMALL(IF($I$2:$I$450="ERROR", ROW($I$2:$I$450)),ROW()-1)), "")</f>
        <v>ERROR</v>
      </c>
      <c r="N18" s="2" t="str">
        <f t="array" ref="N18">IFERROR(INDEX(A:A,SMALL(IF($I$2:$I$450="ERROR", ROW($A$2:$A$450)),ROW()-1)), "")</f>
        <v>319870</v>
      </c>
      <c r="O18" s="2" t="str">
        <f t="array" ref="O18">IFERROR(INDEX(B:B,SMALL(IF($I$2:$I$450="ERROR", ROW($B$2:$B$450)),ROW()-1)), "")</f>
        <v>KBSTAR KRX300미국달러선물혼합</v>
      </c>
      <c r="P18" s="5">
        <f t="array" ref="P18">IFERROR(INDEX(C:C,SMALL(IF($I$2:$I$450="ERROR", ROW($C$2:$C$450)),ROW()-1)), "")</f>
        <v>5.0000000000000001E-3</v>
      </c>
      <c r="Q18" s="5">
        <f t="array" ref="Q18">IFERROR(INDEX(G:G,SMALL(IF($I$2:$I$450="ERROR", ROW($G$2:$G$450)),ROW()-1)), "")</f>
        <v>6.2004822597313122E-3</v>
      </c>
      <c r="R18" s="8">
        <f t="shared" si="1"/>
        <v>1.2004822597313121E-3</v>
      </c>
    </row>
    <row r="19" spans="1:18" x14ac:dyDescent="0.45">
      <c r="A19" s="3" t="s">
        <v>440</v>
      </c>
      <c r="B19" s="1" t="s">
        <v>19</v>
      </c>
      <c r="C19" s="5">
        <v>0.01</v>
      </c>
      <c r="D19" s="4">
        <v>6825</v>
      </c>
      <c r="E19" s="4">
        <v>6850</v>
      </c>
      <c r="F19" s="4">
        <v>6825</v>
      </c>
      <c r="G19" s="5">
        <v>3.663003663003663E-3</v>
      </c>
      <c r="H19" s="6"/>
      <c r="I19" s="2" t="str">
        <f t="shared" si="0"/>
        <v>-</v>
      </c>
      <c r="J19" s="1" t="str">
        <f>IF(I19="ERROR",BeepMe(),"")</f>
        <v/>
      </c>
      <c r="M19" s="2" t="str">
        <f t="array" ref="M19">IFERROR(INDEX(I:I,SMALL(IF($I$2:$I$450="ERROR", ROW($I$2:$I$450)),ROW()-1)), "")</f>
        <v>ERROR</v>
      </c>
      <c r="N19" s="2" t="str">
        <f t="array" ref="N19">IFERROR(INDEX(A:A,SMALL(IF($I$2:$I$450="ERROR", ROW($A$2:$A$450)),ROW()-1)), "")</f>
        <v>325010</v>
      </c>
      <c r="O19" s="2" t="str">
        <f t="array" ref="O19">IFERROR(INDEX(B:B,SMALL(IF($I$2:$I$450="ERROR", ROW($B$2:$B$450)),ROW()-1)), "")</f>
        <v>KODEX Fn성장</v>
      </c>
      <c r="P19" s="5">
        <f t="array" ref="P19">IFERROR(INDEX(C:C,SMALL(IF($I$2:$I$450="ERROR", ROW($C$2:$C$450)),ROW()-1)), "")</f>
        <v>5.0000000000000001E-3</v>
      </c>
      <c r="Q19" s="5">
        <f t="array" ref="Q19">IFERROR(INDEX(G:G,SMALL(IF($I$2:$I$450="ERROR", ROW($G$2:$G$450)),ROW()-1)), "")</f>
        <v>5.8862001308044474E-3</v>
      </c>
      <c r="R19" s="8">
        <f t="shared" si="1"/>
        <v>8.8620013080444732E-4</v>
      </c>
    </row>
    <row r="20" spans="1:18" x14ac:dyDescent="0.45">
      <c r="A20" s="3" t="s">
        <v>441</v>
      </c>
      <c r="B20" s="1" t="s">
        <v>20</v>
      </c>
      <c r="C20" s="5">
        <v>0.01</v>
      </c>
      <c r="D20" s="4">
        <v>15520</v>
      </c>
      <c r="E20" s="4">
        <v>15510</v>
      </c>
      <c r="F20" s="4">
        <v>15490</v>
      </c>
      <c r="G20" s="5">
        <v>1.288659793814433E-3</v>
      </c>
      <c r="H20" s="6"/>
      <c r="I20" s="2" t="str">
        <f t="shared" si="0"/>
        <v>-</v>
      </c>
      <c r="J20" s="1" t="str">
        <f>IF(I20="ERROR",BeepMe(),"")</f>
        <v/>
      </c>
      <c r="M20" s="2" t="str">
        <f t="array" ref="M20">IFERROR(INDEX(I:I,SMALL(IF($I$2:$I$450="ERROR", ROW($I$2:$I$450)),ROW()-1)), "")</f>
        <v>ERROR</v>
      </c>
      <c r="N20" s="2" t="str">
        <f t="array" ref="N20">IFERROR(INDEX(A:A,SMALL(IF($I$2:$I$450="ERROR", ROW($A$2:$A$450)),ROW()-1)), "")</f>
        <v>385710</v>
      </c>
      <c r="O20" s="2" t="str">
        <f t="array" ref="O20">IFERROR(INDEX(B:B,SMALL(IF($I$2:$I$450="ERROR", ROW($B$2:$B$450)),ROW()-1)), "")</f>
        <v>TIMEFOLIO BBIG액티브</v>
      </c>
      <c r="P20" s="5">
        <f t="array" ref="P20">IFERROR(INDEX(C:C,SMALL(IF($I$2:$I$450="ERROR", ROW($C$2:$C$450)),ROW()-1)), "")</f>
        <v>5.0000000000000001E-4</v>
      </c>
      <c r="Q20" s="5">
        <f t="array" ref="Q20">IFERROR(INDEX(G:G,SMALL(IF($I$2:$I$450="ERROR", ROW($G$2:$G$450)),ROW()-1)), "")</f>
        <v>1.6224986479177934E-3</v>
      </c>
      <c r="R20" s="8">
        <f t="shared" si="1"/>
        <v>1.1224986479177934E-3</v>
      </c>
    </row>
    <row r="21" spans="1:18" x14ac:dyDescent="0.45">
      <c r="A21" s="3" t="s">
        <v>442</v>
      </c>
      <c r="B21" s="1" t="s">
        <v>21</v>
      </c>
      <c r="C21" s="5">
        <v>0.01</v>
      </c>
      <c r="D21" s="4">
        <v>37065</v>
      </c>
      <c r="E21" s="4">
        <v>37065</v>
      </c>
      <c r="F21" s="4">
        <v>37035</v>
      </c>
      <c r="G21" s="5">
        <v>8.0938891137191421E-4</v>
      </c>
      <c r="H21" s="6"/>
      <c r="I21" s="2" t="str">
        <f t="shared" si="0"/>
        <v>-</v>
      </c>
      <c r="J21" s="1" t="str">
        <f>IF(I21="ERROR",BeepMe(),"")</f>
        <v/>
      </c>
      <c r="M21" s="2" t="str">
        <f t="array" ref="M21">IFERROR(INDEX(I:I,SMALL(IF($I$2:$I$450="ERROR", ROW($I$2:$I$450)),ROW()-1)), "")</f>
        <v>ERROR</v>
      </c>
      <c r="N21" s="2" t="str">
        <f t="array" ref="N21">IFERROR(INDEX(A:A,SMALL(IF($I$2:$I$450="ERROR", ROW($A$2:$A$450)),ROW()-1)), "")</f>
        <v>404260</v>
      </c>
      <c r="O21" s="2" t="str">
        <f t="array" ref="O21">IFERROR(INDEX(B:B,SMALL(IF($I$2:$I$450="ERROR", ROW($B$2:$B$450)),ROW()-1)), "")</f>
        <v>KODEX KRX기후변화솔루션</v>
      </c>
      <c r="P21" s="5">
        <f t="array" ref="P21">IFERROR(INDEX(C:C,SMALL(IF($I$2:$I$450="ERROR", ROW($C$2:$C$450)),ROW()-1)), "")</f>
        <v>0</v>
      </c>
      <c r="Q21" s="5">
        <f t="array" ref="Q21">IFERROR(INDEX(G:G,SMALL(IF($I$2:$I$450="ERROR", ROW($G$2:$G$450)),ROW()-1)), "")</f>
        <v>3.89321468298109E-3</v>
      </c>
      <c r="R21" s="8">
        <f t="shared" si="1"/>
        <v>3.89321468298109E-3</v>
      </c>
    </row>
    <row r="22" spans="1:18" x14ac:dyDescent="0.45">
      <c r="A22" s="3" t="s">
        <v>443</v>
      </c>
      <c r="B22" s="1" t="s">
        <v>22</v>
      </c>
      <c r="C22" s="5">
        <v>5.0000000000000001E-3</v>
      </c>
      <c r="D22" s="4">
        <v>108820</v>
      </c>
      <c r="E22" s="4">
        <v>108865</v>
      </c>
      <c r="F22" s="4">
        <v>108805</v>
      </c>
      <c r="G22" s="5">
        <v>5.5136923359676532E-4</v>
      </c>
      <c r="H22" s="6"/>
      <c r="I22" s="2" t="str">
        <f t="shared" si="0"/>
        <v>-</v>
      </c>
      <c r="J22" s="1" t="str">
        <f>IF(I22="ERROR",BeepMe(),"")</f>
        <v/>
      </c>
      <c r="M22" s="2" t="str">
        <f t="array" ref="M22">IFERROR(INDEX(I:I,SMALL(IF($I$2:$I$450="ERROR", ROW($I$2:$I$450)),ROW()-1)), "")</f>
        <v>ERROR</v>
      </c>
      <c r="N22" s="2" t="str">
        <f t="array" ref="N22">IFERROR(INDEX(A:A,SMALL(IF($I$2:$I$450="ERROR", ROW($A$2:$A$450)),ROW()-1)), "")</f>
        <v>407310</v>
      </c>
      <c r="O22" s="2" t="str">
        <f t="array" ref="O22">IFERROR(INDEX(B:B,SMALL(IF($I$2:$I$450="ERROR", ROW($B$2:$B$450)),ROW()-1)), "")</f>
        <v>HANARO 200 TOP10</v>
      </c>
      <c r="P22" s="5">
        <f t="array" ref="P22">IFERROR(INDEX(C:C,SMALL(IF($I$2:$I$450="ERROR", ROW($C$2:$C$450)),ROW()-1)), "")</f>
        <v>0</v>
      </c>
      <c r="Q22" s="5">
        <f t="array" ref="Q22">IFERROR(INDEX(G:G,SMALL(IF($I$2:$I$450="ERROR", ROW($G$2:$G$450)),ROW()-1)), "")</f>
        <v>2.3724792408066431E-3</v>
      </c>
      <c r="R22" s="8">
        <f t="shared" si="1"/>
        <v>2.3724792408066431E-3</v>
      </c>
    </row>
    <row r="23" spans="1:18" x14ac:dyDescent="0.45">
      <c r="A23" s="3" t="s">
        <v>444</v>
      </c>
      <c r="B23" s="1" t="s">
        <v>23</v>
      </c>
      <c r="C23" s="5">
        <v>0</v>
      </c>
      <c r="D23" s="4">
        <v>56290</v>
      </c>
      <c r="E23" s="4">
        <v>56340</v>
      </c>
      <c r="F23" s="4">
        <v>56285</v>
      </c>
      <c r="G23" s="5">
        <v>9.7708296322615031E-4</v>
      </c>
      <c r="H23" s="6"/>
      <c r="I23" s="2" t="str">
        <f t="shared" si="0"/>
        <v>ERROR</v>
      </c>
      <c r="J23" s="1" t="str">
        <f>IF(I23="ERROR",BeepMe(),"")</f>
        <v/>
      </c>
      <c r="M23" s="2" t="str">
        <f t="array" ref="M23">IFERROR(INDEX(I:I,SMALL(IF($I$2:$I$450="ERROR", ROW($I$2:$I$450)),ROW()-1)), "")</f>
        <v>ERROR</v>
      </c>
      <c r="N23" s="2" t="str">
        <f t="array" ref="N23">IFERROR(INDEX(A:A,SMALL(IF($I$2:$I$450="ERROR", ROW($A$2:$A$450)),ROW()-1)), "")</f>
        <v>419430</v>
      </c>
      <c r="O23" s="2" t="str">
        <f t="array" ref="O23">IFERROR(INDEX(B:B,SMALL(IF($I$2:$I$450="ERROR", ROW($B$2:$B$450)),ROW()-1)), "")</f>
        <v>KODEX 차이나2차전지MSCI(합성)</v>
      </c>
      <c r="P23" s="5">
        <f t="array" ref="P23">IFERROR(INDEX(C:C,SMALL(IF($I$2:$I$450="ERROR", ROW($C$2:$C$450)),ROW()-1)), "")</f>
        <v>0</v>
      </c>
      <c r="Q23" s="5">
        <f t="array" ref="Q23">IFERROR(INDEX(G:G,SMALL(IF($I$2:$I$450="ERROR", ROW($G$2:$G$450)),ROW()-1)), "")</f>
        <v>1.697792869269949E-3</v>
      </c>
      <c r="R23" s="8">
        <f t="shared" si="1"/>
        <v>1.697792869269949E-3</v>
      </c>
    </row>
    <row r="24" spans="1:18" x14ac:dyDescent="0.45">
      <c r="A24" s="3" t="s">
        <v>445</v>
      </c>
      <c r="B24" s="1" t="s">
        <v>24</v>
      </c>
      <c r="C24" s="5">
        <v>0</v>
      </c>
      <c r="D24" s="4">
        <v>108230</v>
      </c>
      <c r="E24" s="4">
        <v>108265</v>
      </c>
      <c r="F24" s="4">
        <v>108205</v>
      </c>
      <c r="G24" s="5">
        <v>5.5437494225261019E-4</v>
      </c>
      <c r="H24" s="6"/>
      <c r="I24" s="2" t="str">
        <f t="shared" si="0"/>
        <v>ERROR</v>
      </c>
      <c r="J24" s="1" t="str">
        <f>IF(I24="ERROR",BeepMe(),"")</f>
        <v/>
      </c>
      <c r="M24" s="2" t="str">
        <f t="array" ref="M24">IFERROR(INDEX(I:I,SMALL(IF($I$2:$I$450="ERROR", ROW($I$2:$I$450)),ROW()-1)), "")</f>
        <v/>
      </c>
      <c r="N24" s="2" t="str">
        <f t="array" ref="N24">IFERROR(INDEX(A:A,SMALL(IF($I$2:$I$450="ERROR", ROW($A$2:$A$450)),ROW()-1)), "")</f>
        <v/>
      </c>
      <c r="O24" s="2" t="str">
        <f t="array" ref="O24">IFERROR(INDEX(B:B,SMALL(IF($I$2:$I$450="ERROR", ROW($B$2:$B$450)),ROW()-1)), "")</f>
        <v/>
      </c>
      <c r="P24" s="5" t="str">
        <f t="array" ref="P24">IFERROR(INDEX(C:C,SMALL(IF($I$2:$I$450="ERROR", ROW($C$2:$C$450)),ROW()-1)), "")</f>
        <v/>
      </c>
      <c r="Q24" s="5" t="str">
        <f t="array" ref="Q24">IFERROR(INDEX(G:G,SMALL(IF($I$2:$I$450="ERROR", ROW($G$2:$G$450)),ROW()-1)), "")</f>
        <v/>
      </c>
      <c r="R24" s="8" t="str">
        <f t="shared" si="1"/>
        <v/>
      </c>
    </row>
    <row r="25" spans="1:18" x14ac:dyDescent="0.45">
      <c r="A25" s="3" t="s">
        <v>446</v>
      </c>
      <c r="B25" s="1" t="s">
        <v>25</v>
      </c>
      <c r="C25" s="5">
        <v>0.01</v>
      </c>
      <c r="D25" s="4">
        <v>4420</v>
      </c>
      <c r="E25" s="4">
        <v>4420</v>
      </c>
      <c r="F25" s="4">
        <v>4415</v>
      </c>
      <c r="G25" s="5">
        <v>1.1312217194570137E-3</v>
      </c>
      <c r="H25" s="6"/>
      <c r="I25" s="2" t="str">
        <f t="shared" si="0"/>
        <v>-</v>
      </c>
      <c r="J25" s="1" t="str">
        <f>IF(I25="ERROR",BeepMe(),"")</f>
        <v/>
      </c>
      <c r="M25" s="2" t="str">
        <f t="array" ref="M25">IFERROR(INDEX(I:I,SMALL(IF($I$2:$I$450="ERROR", ROW($I$2:$I$450)),ROW()-1)), "")</f>
        <v/>
      </c>
      <c r="N25" s="2" t="str">
        <f t="array" ref="N25">IFERROR(INDEX(A:A,SMALL(IF($I$2:$I$450="ERROR", ROW($A$2:$A$450)),ROW()-1)), "")</f>
        <v/>
      </c>
      <c r="O25" s="2" t="str">
        <f t="array" ref="O25">IFERROR(INDEX(B:B,SMALL(IF($I$2:$I$450="ERROR", ROW($B$2:$B$450)),ROW()-1)), "")</f>
        <v/>
      </c>
      <c r="P25" s="5" t="str">
        <f t="array" ref="P25">IFERROR(INDEX(C:C,SMALL(IF($I$2:$I$450="ERROR", ROW($C$2:$C$450)),ROW()-1)), "")</f>
        <v/>
      </c>
      <c r="Q25" s="5" t="str">
        <f t="array" ref="Q25">IFERROR(INDEX(G:G,SMALL(IF($I$2:$I$450="ERROR", ROW($G$2:$G$450)),ROW()-1)), "")</f>
        <v/>
      </c>
      <c r="R25" s="8" t="str">
        <f t="shared" si="1"/>
        <v/>
      </c>
    </row>
    <row r="26" spans="1:18" x14ac:dyDescent="0.45">
      <c r="A26" s="3" t="s">
        <v>447</v>
      </c>
      <c r="B26" s="1" t="s">
        <v>26</v>
      </c>
      <c r="C26" s="5">
        <v>0</v>
      </c>
      <c r="D26" s="4">
        <v>106600</v>
      </c>
      <c r="E26" s="4">
        <v>106635</v>
      </c>
      <c r="F26" s="4">
        <v>106595</v>
      </c>
      <c r="G26" s="5">
        <v>3.7523452157598499E-4</v>
      </c>
      <c r="H26" s="6"/>
      <c r="I26" s="2" t="str">
        <f t="shared" si="0"/>
        <v>ERROR</v>
      </c>
      <c r="J26" s="1" t="str">
        <f>IF(I26="ERROR",BeepMe(),"")</f>
        <v/>
      </c>
      <c r="M26" s="2" t="str">
        <f t="array" ref="M26">IFERROR(INDEX(I:I,SMALL(IF($I$2:$I$450="ERROR", ROW($I$2:$I$450)),ROW()-1)), "")</f>
        <v/>
      </c>
      <c r="N26" s="2" t="str">
        <f t="array" ref="N26">IFERROR(INDEX(A:A,SMALL(IF($I$2:$I$450="ERROR", ROW($A$2:$A$450)),ROW()-1)), "")</f>
        <v/>
      </c>
      <c r="O26" s="2" t="str">
        <f t="array" ref="O26">IFERROR(INDEX(B:B,SMALL(IF($I$2:$I$450="ERROR", ROW($B$2:$B$450)),ROW()-1)), "")</f>
        <v/>
      </c>
      <c r="P26" s="5" t="str">
        <f t="array" ref="P26">IFERROR(INDEX(C:C,SMALL(IF($I$2:$I$450="ERROR", ROW($C$2:$C$450)),ROW()-1)), "")</f>
        <v/>
      </c>
      <c r="Q26" s="5" t="str">
        <f t="array" ref="Q26">IFERROR(INDEX(G:G,SMALL(IF($I$2:$I$450="ERROR", ROW($G$2:$G$450)),ROW()-1)), "")</f>
        <v/>
      </c>
      <c r="R26" s="8" t="str">
        <f t="shared" si="1"/>
        <v/>
      </c>
    </row>
    <row r="27" spans="1:18" x14ac:dyDescent="0.45">
      <c r="A27" s="3" t="s">
        <v>448</v>
      </c>
      <c r="B27" s="1" t="s">
        <v>27</v>
      </c>
      <c r="C27" s="5">
        <v>0.01</v>
      </c>
      <c r="D27" s="4">
        <v>16490</v>
      </c>
      <c r="E27" s="4">
        <v>16490</v>
      </c>
      <c r="F27" s="4">
        <v>16485</v>
      </c>
      <c r="G27" s="5">
        <v>3.0321406913280777E-4</v>
      </c>
      <c r="H27" s="6"/>
      <c r="I27" s="2" t="str">
        <f t="shared" si="0"/>
        <v>-</v>
      </c>
      <c r="J27" s="1" t="str">
        <f>IF(I27="ERROR",BeepMe(),"")</f>
        <v/>
      </c>
      <c r="M27" s="2" t="str">
        <f t="array" ref="M27">IFERROR(INDEX(I:I,SMALL(IF($I$2:$I$450="ERROR", ROW($I$2:$I$450)),ROW()-1)), "")</f>
        <v/>
      </c>
      <c r="N27" s="2" t="str">
        <f t="array" ref="N27">IFERROR(INDEX(A:A,SMALL(IF($I$2:$I$450="ERROR", ROW($A$2:$A$450)),ROW()-1)), "")</f>
        <v/>
      </c>
      <c r="O27" s="2" t="str">
        <f t="array" ref="O27">IFERROR(INDEX(B:B,SMALL(IF($I$2:$I$450="ERROR", ROW($B$2:$B$450)),ROW()-1)), "")</f>
        <v/>
      </c>
      <c r="P27" s="5" t="str">
        <f t="array" ref="P27">IFERROR(INDEX(C:C,SMALL(IF($I$2:$I$450="ERROR", ROW($C$2:$C$450)),ROW()-1)), "")</f>
        <v/>
      </c>
      <c r="Q27" s="5" t="str">
        <f t="array" ref="Q27">IFERROR(INDEX(G:G,SMALL(IF($I$2:$I$450="ERROR", ROW($G$2:$G$450)),ROW()-1)), "")</f>
        <v/>
      </c>
      <c r="R27" s="8" t="str">
        <f t="shared" si="1"/>
        <v/>
      </c>
    </row>
    <row r="28" spans="1:18" x14ac:dyDescent="0.45">
      <c r="A28" s="3" t="s">
        <v>449</v>
      </c>
      <c r="B28" s="1" t="s">
        <v>28</v>
      </c>
      <c r="C28" s="5">
        <v>0.01</v>
      </c>
      <c r="D28" s="4">
        <v>9610</v>
      </c>
      <c r="E28" s="4">
        <v>9615</v>
      </c>
      <c r="F28" s="4">
        <v>9610</v>
      </c>
      <c r="G28" s="5">
        <v>5.2029136316337154E-4</v>
      </c>
      <c r="H28" s="6"/>
      <c r="I28" s="2" t="str">
        <f t="shared" si="0"/>
        <v>-</v>
      </c>
      <c r="J28" s="1" t="str">
        <f>IF(I28="ERROR",BeepMe(),"")</f>
        <v/>
      </c>
      <c r="M28" s="2" t="str">
        <f t="array" ref="M28">IFERROR(INDEX(I:I,SMALL(IF($I$2:$I$450="ERROR", ROW($I$2:$I$450)),ROW()-1)), "")</f>
        <v/>
      </c>
      <c r="N28" s="2" t="str">
        <f t="array" ref="N28">IFERROR(INDEX(A:A,SMALL(IF($I$2:$I$450="ERROR", ROW($A$2:$A$450)),ROW()-1)), "")</f>
        <v/>
      </c>
      <c r="O28" s="2" t="str">
        <f t="array" ref="O28">IFERROR(INDEX(B:B,SMALL(IF($I$2:$I$450="ERROR", ROW($B$2:$B$450)),ROW()-1)), "")</f>
        <v/>
      </c>
      <c r="P28" s="5" t="str">
        <f t="array" ref="P28">IFERROR(INDEX(C:C,SMALL(IF($I$2:$I$450="ERROR", ROW($C$2:$C$450)),ROW()-1)), "")</f>
        <v/>
      </c>
      <c r="Q28" s="5" t="str">
        <f t="array" ref="Q28">IFERROR(INDEX(G:G,SMALL(IF($I$2:$I$450="ERROR", ROW($G$2:$G$450)),ROW()-1)), "")</f>
        <v/>
      </c>
      <c r="R28" s="8" t="str">
        <f t="shared" si="1"/>
        <v/>
      </c>
    </row>
    <row r="29" spans="1:18" x14ac:dyDescent="0.45">
      <c r="A29" s="3" t="s">
        <v>450</v>
      </c>
      <c r="B29" s="1" t="s">
        <v>29</v>
      </c>
      <c r="C29" s="5">
        <v>0.03</v>
      </c>
      <c r="D29" s="4">
        <v>13675</v>
      </c>
      <c r="E29" s="4">
        <v>13675</v>
      </c>
      <c r="F29" s="4">
        <v>13635</v>
      </c>
      <c r="G29" s="5">
        <v>2.9250457038391227E-3</v>
      </c>
      <c r="H29" s="6"/>
      <c r="I29" s="2" t="str">
        <f t="shared" si="0"/>
        <v>-</v>
      </c>
      <c r="J29" s="1" t="str">
        <f>IF(I29="ERROR",BeepMe(),"")</f>
        <v/>
      </c>
      <c r="M29" s="2" t="str">
        <f t="array" ref="M29">IFERROR(INDEX(I:I,SMALL(IF($I$2:$I$450="ERROR", ROW($I$2:$I$450)),ROW()-1)), "")</f>
        <v/>
      </c>
      <c r="N29" s="2" t="str">
        <f t="array" ref="N29">IFERROR(INDEX(A:A,SMALL(IF($I$2:$I$450="ERROR", ROW($A$2:$A$450)),ROW()-1)), "")</f>
        <v/>
      </c>
      <c r="O29" s="2" t="str">
        <f t="array" ref="O29">IFERROR(INDEX(B:B,SMALL(IF($I$2:$I$450="ERROR", ROW($B$2:$B$450)),ROW()-1)), "")</f>
        <v/>
      </c>
      <c r="P29" s="5" t="str">
        <f t="array" ref="P29">IFERROR(INDEX(C:C,SMALL(IF($I$2:$I$450="ERROR", ROW($C$2:$C$450)),ROW()-1)), "")</f>
        <v/>
      </c>
      <c r="Q29" s="5" t="str">
        <f t="array" ref="Q29">IFERROR(INDEX(G:G,SMALL(IF($I$2:$I$450="ERROR", ROW($G$2:$G$450)),ROW()-1)), "")</f>
        <v/>
      </c>
      <c r="R29" s="8" t="str">
        <f t="shared" si="1"/>
        <v/>
      </c>
    </row>
    <row r="30" spans="1:18" x14ac:dyDescent="0.45">
      <c r="A30" s="3" t="s">
        <v>451</v>
      </c>
      <c r="B30" s="1" t="s">
        <v>30</v>
      </c>
      <c r="C30" s="5">
        <v>0.01</v>
      </c>
      <c r="D30" s="4">
        <v>3335</v>
      </c>
      <c r="E30" s="4">
        <v>3335</v>
      </c>
      <c r="F30" s="4">
        <v>3330</v>
      </c>
      <c r="G30" s="5">
        <v>1.4992503748125937E-3</v>
      </c>
      <c r="H30" s="6"/>
      <c r="I30" s="2" t="str">
        <f t="shared" si="0"/>
        <v>-</v>
      </c>
      <c r="J30" s="1" t="str">
        <f>IF(I30="ERROR",BeepMe(),"")</f>
        <v/>
      </c>
      <c r="M30" s="2" t="str">
        <f t="array" ref="M30">IFERROR(INDEX(I:I,SMALL(IF($I$2:$I$450="ERROR", ROW($I$2:$I$450)),ROW()-1)), "")</f>
        <v/>
      </c>
      <c r="N30" s="2" t="str">
        <f t="array" ref="N30">IFERROR(INDEX(A:A,SMALL(IF($I$2:$I$450="ERROR", ROW($A$2:$A$450)),ROW()-1)), "")</f>
        <v/>
      </c>
      <c r="O30" s="2" t="str">
        <f t="array" ref="O30">IFERROR(INDEX(B:B,SMALL(IF($I$2:$I$450="ERROR", ROW($B$2:$B$450)),ROW()-1)), "")</f>
        <v/>
      </c>
      <c r="P30" s="5" t="str">
        <f t="array" ref="P30">IFERROR(INDEX(C:C,SMALL(IF($I$2:$I$450="ERROR", ROW($C$2:$C$450)),ROW()-1)), "")</f>
        <v/>
      </c>
      <c r="Q30" s="5" t="str">
        <f t="array" ref="Q30">IFERROR(INDEX(G:G,SMALL(IF($I$2:$I$450="ERROR", ROW($G$2:$G$450)),ROW()-1)), "")</f>
        <v/>
      </c>
      <c r="R30" s="8" t="str">
        <f t="shared" si="1"/>
        <v/>
      </c>
    </row>
    <row r="31" spans="1:18" x14ac:dyDescent="0.45">
      <c r="A31" s="3" t="s">
        <v>452</v>
      </c>
      <c r="B31" s="1" t="s">
        <v>31</v>
      </c>
      <c r="C31" s="5">
        <v>0.01</v>
      </c>
      <c r="D31" s="4">
        <v>24650</v>
      </c>
      <c r="E31" s="4">
        <v>24650</v>
      </c>
      <c r="F31" s="4">
        <v>24615</v>
      </c>
      <c r="G31" s="5">
        <v>1.4198782961460446E-3</v>
      </c>
      <c r="H31" s="6"/>
      <c r="I31" s="2" t="str">
        <f t="shared" si="0"/>
        <v>-</v>
      </c>
      <c r="J31" s="1" t="str">
        <f>IF(I31="ERROR",BeepMe(),"")</f>
        <v/>
      </c>
      <c r="M31" s="2" t="str">
        <f t="array" ref="M31">IFERROR(INDEX(I:I,SMALL(IF($I$2:$I$450="ERROR", ROW($I$2:$I$450)),ROW()-1)), "")</f>
        <v/>
      </c>
      <c r="N31" s="2" t="str">
        <f t="array" ref="N31">IFERROR(INDEX(A:A,SMALL(IF($I$2:$I$450="ERROR", ROW($A$2:$A$450)),ROW()-1)), "")</f>
        <v/>
      </c>
      <c r="O31" s="2" t="str">
        <f t="array" ref="O31">IFERROR(INDEX(B:B,SMALL(IF($I$2:$I$450="ERROR", ROW($B$2:$B$450)),ROW()-1)), "")</f>
        <v/>
      </c>
      <c r="P31" s="5" t="str">
        <f t="array" ref="P31">IFERROR(INDEX(C:C,SMALL(IF($I$2:$I$450="ERROR", ROW($C$2:$C$450)),ROW()-1)), "")</f>
        <v/>
      </c>
      <c r="Q31" s="5" t="str">
        <f t="array" ref="Q31">IFERROR(INDEX(G:G,SMALL(IF($I$2:$I$450="ERROR", ROW($G$2:$G$450)),ROW()-1)), "")</f>
        <v/>
      </c>
      <c r="R31" s="8" t="str">
        <f t="shared" si="1"/>
        <v/>
      </c>
    </row>
    <row r="32" spans="1:18" x14ac:dyDescent="0.45">
      <c r="A32" s="3" t="s">
        <v>453</v>
      </c>
      <c r="B32" s="1" t="s">
        <v>32</v>
      </c>
      <c r="C32" s="5">
        <v>0</v>
      </c>
      <c r="D32" s="4">
        <v>101010</v>
      </c>
      <c r="E32" s="4">
        <v>101015</v>
      </c>
      <c r="F32" s="4">
        <v>101010</v>
      </c>
      <c r="G32" s="5">
        <v>4.9500049500049503E-5</v>
      </c>
      <c r="H32" s="6"/>
      <c r="I32" s="2" t="str">
        <f t="shared" si="0"/>
        <v>ERROR</v>
      </c>
      <c r="J32" s="1" t="str">
        <f>IF(I32="ERROR",BeepMe(),"")</f>
        <v/>
      </c>
      <c r="M32" s="2" t="str">
        <f t="array" ref="M32">IFERROR(INDEX(I:I,SMALL(IF($I$2:$I$450="ERROR", ROW($I$2:$I$450)),ROW()-1)), "")</f>
        <v/>
      </c>
      <c r="N32" s="2" t="str">
        <f t="array" ref="N32">IFERROR(INDEX(A:A,SMALL(IF($I$2:$I$450="ERROR", ROW($A$2:$A$450)),ROW()-1)), "")</f>
        <v/>
      </c>
      <c r="O32" s="2" t="str">
        <f t="array" ref="O32">IFERROR(INDEX(B:B,SMALL(IF($I$2:$I$450="ERROR", ROW($B$2:$B$450)),ROW()-1)), "")</f>
        <v/>
      </c>
      <c r="P32" s="5" t="str">
        <f t="array" ref="P32">IFERROR(INDEX(C:C,SMALL(IF($I$2:$I$450="ERROR", ROW($C$2:$C$450)),ROW()-1)), "")</f>
        <v/>
      </c>
      <c r="Q32" s="5" t="str">
        <f t="array" ref="Q32">IFERROR(INDEX(G:G,SMALL(IF($I$2:$I$450="ERROR", ROW($G$2:$G$450)),ROW()-1)), "")</f>
        <v/>
      </c>
      <c r="R32" s="8" t="str">
        <f t="shared" si="1"/>
        <v/>
      </c>
    </row>
    <row r="33" spans="1:18" x14ac:dyDescent="0.45">
      <c r="A33" s="3" t="s">
        <v>454</v>
      </c>
      <c r="B33" s="1" t="s">
        <v>33</v>
      </c>
      <c r="C33" s="5">
        <v>0.01</v>
      </c>
      <c r="D33" s="4">
        <v>19010</v>
      </c>
      <c r="E33" s="4">
        <v>19015</v>
      </c>
      <c r="F33" s="4">
        <v>19010</v>
      </c>
      <c r="G33" s="5">
        <v>2.6301946344029457E-4</v>
      </c>
      <c r="H33" s="6"/>
      <c r="I33" s="2" t="str">
        <f t="shared" si="0"/>
        <v>-</v>
      </c>
      <c r="J33" s="1" t="str">
        <f>IF(I33="ERROR",BeepMe(),"")</f>
        <v/>
      </c>
      <c r="M33" s="2" t="str">
        <f t="array" ref="M33">IFERROR(INDEX(I:I,SMALL(IF($I$2:$I$450="ERROR", ROW($I$2:$I$450)),ROW()-1)), "")</f>
        <v/>
      </c>
      <c r="N33" s="2" t="str">
        <f t="array" ref="N33">IFERROR(INDEX(A:A,SMALL(IF($I$2:$I$450="ERROR", ROW($A$2:$A$450)),ROW()-1)), "")</f>
        <v/>
      </c>
      <c r="O33" s="2" t="str">
        <f t="array" ref="O33">IFERROR(INDEX(B:B,SMALL(IF($I$2:$I$450="ERROR", ROW($B$2:$B$450)),ROW()-1)), "")</f>
        <v/>
      </c>
      <c r="P33" s="5" t="str">
        <f t="array" ref="P33">IFERROR(INDEX(C:C,SMALL(IF($I$2:$I$450="ERROR", ROW($C$2:$C$450)),ROW()-1)), "")</f>
        <v/>
      </c>
      <c r="Q33" s="5" t="str">
        <f t="array" ref="Q33">IFERROR(INDEX(G:G,SMALL(IF($I$2:$I$450="ERROR", ROW($G$2:$G$450)),ROW()-1)), "")</f>
        <v/>
      </c>
      <c r="R33" s="8" t="str">
        <f t="shared" si="1"/>
        <v/>
      </c>
    </row>
    <row r="34" spans="1:18" x14ac:dyDescent="0.45">
      <c r="A34" s="3" t="s">
        <v>455</v>
      </c>
      <c r="B34" s="1" t="s">
        <v>34</v>
      </c>
      <c r="C34" s="5">
        <v>6.0000000000000001E-3</v>
      </c>
      <c r="D34" s="4">
        <v>4915</v>
      </c>
      <c r="E34" s="4">
        <v>4915</v>
      </c>
      <c r="F34" s="4">
        <v>4910</v>
      </c>
      <c r="G34" s="5">
        <v>1.017293997965412E-3</v>
      </c>
      <c r="H34" s="6"/>
      <c r="I34" s="2" t="str">
        <f t="shared" si="0"/>
        <v>-</v>
      </c>
      <c r="J34" s="1" t="str">
        <f>IF(I34="ERROR",BeepMe(),"")</f>
        <v/>
      </c>
      <c r="M34" s="2" t="str">
        <f t="array" ref="M34">IFERROR(INDEX(I:I,SMALL(IF($I$2:$I$450="ERROR", ROW($I$2:$I$450)),ROW()-1)), "")</f>
        <v/>
      </c>
      <c r="N34" s="2" t="str">
        <f t="array" ref="N34">IFERROR(INDEX(A:A,SMALL(IF($I$2:$I$450="ERROR", ROW($A$2:$A$450)),ROW()-1)), "")</f>
        <v/>
      </c>
      <c r="O34" s="2" t="str">
        <f t="array" ref="O34">IFERROR(INDEX(B:B,SMALL(IF($I$2:$I$450="ERROR", ROW($B$2:$B$450)),ROW()-1)), "")</f>
        <v/>
      </c>
      <c r="P34" s="5" t="str">
        <f t="array" ref="P34">IFERROR(INDEX(C:C,SMALL(IF($I$2:$I$450="ERROR", ROW($C$2:$C$450)),ROW()-1)), "")</f>
        <v/>
      </c>
      <c r="Q34" s="5" t="str">
        <f t="array" ref="Q34">IFERROR(INDEX(G:G,SMALL(IF($I$2:$I$450="ERROR", ROW($G$2:$G$450)),ROW()-1)), "")</f>
        <v/>
      </c>
      <c r="R34" s="8" t="str">
        <f t="shared" si="1"/>
        <v/>
      </c>
    </row>
    <row r="35" spans="1:18" x14ac:dyDescent="0.45">
      <c r="A35" s="3" t="s">
        <v>456</v>
      </c>
      <c r="B35" s="1" t="s">
        <v>35</v>
      </c>
      <c r="C35" s="5">
        <v>0</v>
      </c>
      <c r="D35" s="4">
        <v>18165</v>
      </c>
      <c r="E35" s="4">
        <v>18165</v>
      </c>
      <c r="F35" s="4">
        <v>18160</v>
      </c>
      <c r="G35" s="5">
        <v>2.7525461051472613E-4</v>
      </c>
      <c r="H35" s="6"/>
      <c r="I35" s="2" t="str">
        <f t="shared" si="0"/>
        <v>ERROR</v>
      </c>
      <c r="J35" s="1" t="str">
        <f>IF(I35="ERROR",BeepMe(),"")</f>
        <v/>
      </c>
      <c r="M35" s="2" t="str">
        <f t="array" ref="M35">IFERROR(INDEX(I:I,SMALL(IF($I$2:$I$450="ERROR", ROW($I$2:$I$450)),ROW()-1)), "")</f>
        <v/>
      </c>
      <c r="N35" s="2" t="str">
        <f t="array" ref="N35">IFERROR(INDEX(A:A,SMALL(IF($I$2:$I$450="ERROR", ROW($A$2:$A$450)),ROW()-1)), "")</f>
        <v/>
      </c>
      <c r="O35" s="2" t="str">
        <f t="array" ref="O35">IFERROR(INDEX(B:B,SMALL(IF($I$2:$I$450="ERROR", ROW($B$2:$B$450)),ROW()-1)), "")</f>
        <v/>
      </c>
      <c r="P35" s="5" t="str">
        <f t="array" ref="P35">IFERROR(INDEX(C:C,SMALL(IF($I$2:$I$450="ERROR", ROW($C$2:$C$450)),ROW()-1)), "")</f>
        <v/>
      </c>
      <c r="Q35" s="5" t="str">
        <f t="array" ref="Q35">IFERROR(INDEX(G:G,SMALL(IF($I$2:$I$450="ERROR", ROW($G$2:$G$450)),ROW()-1)), "")</f>
        <v/>
      </c>
      <c r="R35" s="8" t="str">
        <f t="shared" si="1"/>
        <v/>
      </c>
    </row>
    <row r="36" spans="1:18" x14ac:dyDescent="0.45">
      <c r="A36" s="3" t="s">
        <v>457</v>
      </c>
      <c r="B36" s="1" t="s">
        <v>36</v>
      </c>
      <c r="C36" s="5">
        <v>0.01</v>
      </c>
      <c r="D36" s="4">
        <v>5210</v>
      </c>
      <c r="E36" s="4">
        <v>5215</v>
      </c>
      <c r="F36" s="4">
        <v>5210</v>
      </c>
      <c r="G36" s="5">
        <v>9.5969289827255275E-4</v>
      </c>
      <c r="H36" s="6"/>
      <c r="I36" s="2" t="str">
        <f t="shared" si="0"/>
        <v>-</v>
      </c>
      <c r="J36" s="1" t="str">
        <f>IF(I36="ERROR",BeepMe(),"")</f>
        <v/>
      </c>
      <c r="M36" s="2" t="str">
        <f t="array" ref="M36">IFERROR(INDEX(I:I,SMALL(IF($I$2:$I$450="ERROR", ROW($I$2:$I$450)),ROW()-1)), "")</f>
        <v/>
      </c>
      <c r="N36" s="2" t="str">
        <f t="array" ref="N36">IFERROR(INDEX(A:A,SMALL(IF($I$2:$I$450="ERROR", ROW($A$2:$A$450)),ROW()-1)), "")</f>
        <v/>
      </c>
      <c r="O36" s="2" t="str">
        <f t="array" ref="O36">IFERROR(INDEX(B:B,SMALL(IF($I$2:$I$450="ERROR", ROW($B$2:$B$450)),ROW()-1)), "")</f>
        <v/>
      </c>
      <c r="P36" s="5" t="str">
        <f t="array" ref="P36">IFERROR(INDEX(C:C,SMALL(IF($I$2:$I$450="ERROR", ROW($C$2:$C$450)),ROW()-1)), "")</f>
        <v/>
      </c>
      <c r="Q36" s="5" t="str">
        <f t="array" ref="Q36">IFERROR(INDEX(G:G,SMALL(IF($I$2:$I$450="ERROR", ROW($G$2:$G$450)),ROW()-1)), "")</f>
        <v/>
      </c>
      <c r="R36" s="8" t="str">
        <f t="shared" si="1"/>
        <v/>
      </c>
    </row>
    <row r="37" spans="1:18" x14ac:dyDescent="0.45">
      <c r="A37" s="3" t="s">
        <v>458</v>
      </c>
      <c r="B37" s="1" t="s">
        <v>37</v>
      </c>
      <c r="C37" s="5">
        <v>0</v>
      </c>
      <c r="D37" s="4">
        <v>101200</v>
      </c>
      <c r="E37" s="4">
        <v>101205</v>
      </c>
      <c r="F37" s="4">
        <v>101200</v>
      </c>
      <c r="G37" s="5">
        <v>4.9407114624505928E-5</v>
      </c>
      <c r="H37" s="6"/>
      <c r="I37" s="2" t="str">
        <f t="shared" si="0"/>
        <v>ERROR</v>
      </c>
      <c r="J37" s="1" t="str">
        <f>IF(I37="ERROR",BeepMe(),"")</f>
        <v/>
      </c>
      <c r="M37" s="2" t="str">
        <f t="array" ref="M37">IFERROR(INDEX(I:I,SMALL(IF($I$2:$I$450="ERROR", ROW($I$2:$I$450)),ROW()-1)), "")</f>
        <v/>
      </c>
      <c r="N37" s="2" t="str">
        <f t="array" ref="N37">IFERROR(INDEX(A:A,SMALL(IF($I$2:$I$450="ERROR", ROW($A$2:$A$450)),ROW()-1)), "")</f>
        <v/>
      </c>
      <c r="O37" s="2" t="str">
        <f t="array" ref="O37">IFERROR(INDEX(B:B,SMALL(IF($I$2:$I$450="ERROR", ROW($B$2:$B$450)),ROW()-1)), "")</f>
        <v/>
      </c>
      <c r="P37" s="5" t="str">
        <f t="array" ref="P37">IFERROR(INDEX(C:C,SMALL(IF($I$2:$I$450="ERROR", ROW($C$2:$C$450)),ROW()-1)), "")</f>
        <v/>
      </c>
      <c r="Q37" s="5" t="str">
        <f t="array" ref="Q37">IFERROR(INDEX(G:G,SMALL(IF($I$2:$I$450="ERROR", ROW($G$2:$G$450)),ROW()-1)), "")</f>
        <v/>
      </c>
      <c r="R37" s="8" t="str">
        <f t="shared" si="1"/>
        <v/>
      </c>
    </row>
    <row r="38" spans="1:18" x14ac:dyDescent="0.45">
      <c r="A38" s="3" t="s">
        <v>459</v>
      </c>
      <c r="B38" s="1" t="s">
        <v>38</v>
      </c>
      <c r="C38" s="5">
        <v>0.01</v>
      </c>
      <c r="D38" s="4">
        <v>16780</v>
      </c>
      <c r="E38" s="4">
        <v>16780</v>
      </c>
      <c r="F38" s="4">
        <v>16705</v>
      </c>
      <c r="G38" s="5">
        <v>4.4696066746126341E-3</v>
      </c>
      <c r="H38" s="6"/>
      <c r="I38" s="2" t="str">
        <f t="shared" si="0"/>
        <v>-</v>
      </c>
      <c r="J38" s="1" t="str">
        <f>IF(I38="ERROR",BeepMe(),"")</f>
        <v/>
      </c>
      <c r="M38" s="2" t="str">
        <f t="array" ref="M38">IFERROR(INDEX(I:I,SMALL(IF($I$2:$I$450="ERROR", ROW($I$2:$I$450)),ROW()-1)), "")</f>
        <v/>
      </c>
      <c r="N38" s="2" t="str">
        <f t="array" ref="N38">IFERROR(INDEX(A:A,SMALL(IF($I$2:$I$450="ERROR", ROW($A$2:$A$450)),ROW()-1)), "")</f>
        <v/>
      </c>
      <c r="O38" s="2" t="str">
        <f t="array" ref="O38">IFERROR(INDEX(B:B,SMALL(IF($I$2:$I$450="ERROR", ROW($B$2:$B$450)),ROW()-1)), "")</f>
        <v/>
      </c>
      <c r="P38" s="5" t="str">
        <f t="array" ref="P38">IFERROR(INDEX(C:C,SMALL(IF($I$2:$I$450="ERROR", ROW($C$2:$C$450)),ROW()-1)), "")</f>
        <v/>
      </c>
      <c r="Q38" s="5" t="str">
        <f t="array" ref="Q38">IFERROR(INDEX(G:G,SMALL(IF($I$2:$I$450="ERROR", ROW($G$2:$G$450)),ROW()-1)), "")</f>
        <v/>
      </c>
      <c r="R38" s="8" t="str">
        <f t="shared" si="1"/>
        <v/>
      </c>
    </row>
    <row r="39" spans="1:18" x14ac:dyDescent="0.45">
      <c r="A39" s="3" t="s">
        <v>460</v>
      </c>
      <c r="B39" s="1" t="s">
        <v>39</v>
      </c>
      <c r="C39" s="5">
        <v>0.01</v>
      </c>
      <c r="D39" s="4">
        <v>13290</v>
      </c>
      <c r="E39" s="4">
        <v>13290</v>
      </c>
      <c r="F39" s="4">
        <v>13285</v>
      </c>
      <c r="G39" s="5">
        <v>3.7622272385252068E-4</v>
      </c>
      <c r="H39" s="6"/>
      <c r="I39" s="2" t="str">
        <f t="shared" si="0"/>
        <v>-</v>
      </c>
      <c r="J39" s="1" t="str">
        <f>IF(I39="ERROR",BeepMe(),"")</f>
        <v/>
      </c>
      <c r="M39" s="2" t="str">
        <f t="array" ref="M39">IFERROR(INDEX(I:I,SMALL(IF($I$2:$I$450="ERROR", ROW($I$2:$I$450)),ROW()-1)), "")</f>
        <v/>
      </c>
      <c r="N39" s="2" t="str">
        <f t="array" ref="N39">IFERROR(INDEX(A:A,SMALL(IF($I$2:$I$450="ERROR", ROW($A$2:$A$450)),ROW()-1)), "")</f>
        <v/>
      </c>
      <c r="O39" s="2" t="str">
        <f t="array" ref="O39">IFERROR(INDEX(B:B,SMALL(IF($I$2:$I$450="ERROR", ROW($B$2:$B$450)),ROW()-1)), "")</f>
        <v/>
      </c>
      <c r="P39" s="5" t="str">
        <f t="array" ref="P39">IFERROR(INDEX(C:C,SMALL(IF($I$2:$I$450="ERROR", ROW($C$2:$C$450)),ROW()-1)), "")</f>
        <v/>
      </c>
      <c r="Q39" s="5" t="str">
        <f t="array" ref="Q39">IFERROR(INDEX(G:G,SMALL(IF($I$2:$I$450="ERROR", ROW($G$2:$G$450)),ROW()-1)), "")</f>
        <v/>
      </c>
      <c r="R39" s="8" t="str">
        <f t="shared" si="1"/>
        <v/>
      </c>
    </row>
    <row r="40" spans="1:18" x14ac:dyDescent="0.45">
      <c r="A40" s="3" t="s">
        <v>461</v>
      </c>
      <c r="B40" s="1" t="s">
        <v>40</v>
      </c>
      <c r="C40" s="5">
        <v>0.02</v>
      </c>
      <c r="D40" s="4">
        <v>77445</v>
      </c>
      <c r="E40" s="4">
        <v>77445</v>
      </c>
      <c r="F40" s="4">
        <v>77435</v>
      </c>
      <c r="G40" s="5">
        <v>1.2912389437665439E-4</v>
      </c>
      <c r="H40" s="6"/>
      <c r="I40" s="2" t="str">
        <f t="shared" si="0"/>
        <v>-</v>
      </c>
      <c r="J40" s="1" t="str">
        <f>IF(I40="ERROR",BeepMe(),"")</f>
        <v/>
      </c>
      <c r="M40" s="2" t="str">
        <f t="array" ref="M40">IFERROR(INDEX(I:I,SMALL(IF($I$2:$I$450="ERROR", ROW($I$2:$I$450)),ROW()-1)), "")</f>
        <v/>
      </c>
      <c r="N40" s="2" t="str">
        <f t="array" ref="N40">IFERROR(INDEX(A:A,SMALL(IF($I$2:$I$450="ERROR", ROW($A$2:$A$450)),ROW()-1)), "")</f>
        <v/>
      </c>
      <c r="O40" s="2" t="str">
        <f t="array" ref="O40">IFERROR(INDEX(B:B,SMALL(IF($I$2:$I$450="ERROR", ROW($B$2:$B$450)),ROW()-1)), "")</f>
        <v/>
      </c>
      <c r="P40" s="5" t="str">
        <f t="array" ref="P40">IFERROR(INDEX(C:C,SMALL(IF($I$2:$I$450="ERROR", ROW($C$2:$C$450)),ROW()-1)), "")</f>
        <v/>
      </c>
      <c r="Q40" s="5" t="str">
        <f t="array" ref="Q40">IFERROR(INDEX(G:G,SMALL(IF($I$2:$I$450="ERROR", ROW($G$2:$G$450)),ROW()-1)), "")</f>
        <v/>
      </c>
      <c r="R40" s="8" t="str">
        <f t="shared" si="1"/>
        <v/>
      </c>
    </row>
    <row r="41" spans="1:18" x14ac:dyDescent="0.45">
      <c r="A41" s="3" t="s">
        <v>462</v>
      </c>
      <c r="B41" s="1" t="s">
        <v>41</v>
      </c>
      <c r="C41" s="5">
        <v>5.0000000000000001E-3</v>
      </c>
      <c r="D41" s="4">
        <v>102550</v>
      </c>
      <c r="E41" s="4">
        <v>102530</v>
      </c>
      <c r="F41" s="4">
        <v>102455</v>
      </c>
      <c r="G41" s="5">
        <v>7.3135056070209659E-4</v>
      </c>
      <c r="H41" s="6"/>
      <c r="I41" s="2" t="str">
        <f t="shared" si="0"/>
        <v>-</v>
      </c>
      <c r="J41" s="1" t="str">
        <f>IF(I41="ERROR",BeepMe(),"")</f>
        <v/>
      </c>
      <c r="M41" s="2" t="str">
        <f t="array" ref="M41">IFERROR(INDEX(I:I,SMALL(IF($I$2:$I$450="ERROR", ROW($I$2:$I$450)),ROW()-1)), "")</f>
        <v/>
      </c>
      <c r="N41" s="2" t="str">
        <f t="array" ref="N41">IFERROR(INDEX(A:A,SMALL(IF($I$2:$I$450="ERROR", ROW($A$2:$A$450)),ROW()-1)), "")</f>
        <v/>
      </c>
      <c r="O41" s="2" t="str">
        <f t="array" ref="O41">IFERROR(INDEX(B:B,SMALL(IF($I$2:$I$450="ERROR", ROW($B$2:$B$450)),ROW()-1)), "")</f>
        <v/>
      </c>
      <c r="P41" s="5" t="str">
        <f t="array" ref="P41">IFERROR(INDEX(C:C,SMALL(IF($I$2:$I$450="ERROR", ROW($C$2:$C$450)),ROW()-1)), "")</f>
        <v/>
      </c>
      <c r="Q41" s="5" t="str">
        <f t="array" ref="Q41">IFERROR(INDEX(G:G,SMALL(IF($I$2:$I$450="ERROR", ROW($G$2:$G$450)),ROW()-1)), "")</f>
        <v/>
      </c>
      <c r="R41" s="8" t="str">
        <f t="shared" si="1"/>
        <v/>
      </c>
    </row>
    <row r="42" spans="1:18" x14ac:dyDescent="0.45">
      <c r="A42" s="3" t="s">
        <v>463</v>
      </c>
      <c r="B42" s="1" t="s">
        <v>42</v>
      </c>
      <c r="C42" s="5">
        <v>5.0000000000000001E-3</v>
      </c>
      <c r="D42" s="4">
        <v>12880</v>
      </c>
      <c r="E42" s="4">
        <v>12880</v>
      </c>
      <c r="F42" s="4">
        <v>12865</v>
      </c>
      <c r="G42" s="5">
        <v>1.1645962732919255E-3</v>
      </c>
      <c r="H42" s="6"/>
      <c r="I42" s="2" t="str">
        <f t="shared" si="0"/>
        <v>-</v>
      </c>
      <c r="J42" s="1" t="str">
        <f>IF(I42="ERROR",BeepMe(),"")</f>
        <v/>
      </c>
      <c r="M42" s="2" t="str">
        <f t="array" ref="M42">IFERROR(INDEX(I:I,SMALL(IF($I$2:$I$450="ERROR", ROW($I$2:$I$450)),ROW()-1)), "")</f>
        <v/>
      </c>
      <c r="N42" s="2" t="str">
        <f t="array" ref="N42">IFERROR(INDEX(A:A,SMALL(IF($I$2:$I$450="ERROR", ROW($A$2:$A$450)),ROW()-1)), "")</f>
        <v/>
      </c>
      <c r="O42" s="2" t="str">
        <f t="array" ref="O42">IFERROR(INDEX(B:B,SMALL(IF($I$2:$I$450="ERROR", ROW($B$2:$B$450)),ROW()-1)), "")</f>
        <v/>
      </c>
      <c r="P42" s="5" t="str">
        <f t="array" ref="P42">IFERROR(INDEX(C:C,SMALL(IF($I$2:$I$450="ERROR", ROW($C$2:$C$450)),ROW()-1)), "")</f>
        <v/>
      </c>
      <c r="Q42" s="5" t="str">
        <f t="array" ref="Q42">IFERROR(INDEX(G:G,SMALL(IF($I$2:$I$450="ERROR", ROW($G$2:$G$450)),ROW()-1)), "")</f>
        <v/>
      </c>
      <c r="R42" s="8" t="str">
        <f t="shared" si="1"/>
        <v/>
      </c>
    </row>
    <row r="43" spans="1:18" x14ac:dyDescent="0.45">
      <c r="A43" s="3" t="s">
        <v>464</v>
      </c>
      <c r="B43" s="1" t="s">
        <v>43</v>
      </c>
      <c r="C43" s="5">
        <v>0.01</v>
      </c>
      <c r="D43" s="4">
        <v>11150</v>
      </c>
      <c r="E43" s="4">
        <v>11150</v>
      </c>
      <c r="F43" s="4">
        <v>11130</v>
      </c>
      <c r="G43" s="5">
        <v>1.7937219730941704E-3</v>
      </c>
      <c r="H43" s="6"/>
      <c r="I43" s="2" t="str">
        <f t="shared" si="0"/>
        <v>-</v>
      </c>
      <c r="J43" s="1" t="str">
        <f>IF(I43="ERROR",BeepMe(),"")</f>
        <v/>
      </c>
      <c r="M43" s="2" t="str">
        <f t="array" ref="M43">IFERROR(INDEX(I:I,SMALL(IF($I$2:$I$450="ERROR", ROW($I$2:$I$450)),ROW()-1)), "")</f>
        <v/>
      </c>
      <c r="N43" s="2" t="str">
        <f t="array" ref="N43">IFERROR(INDEX(A:A,SMALL(IF($I$2:$I$450="ERROR", ROW($A$2:$A$450)),ROW()-1)), "")</f>
        <v/>
      </c>
      <c r="O43" s="2" t="str">
        <f t="array" ref="O43">IFERROR(INDEX(B:B,SMALL(IF($I$2:$I$450="ERROR", ROW($B$2:$B$450)),ROW()-1)), "")</f>
        <v/>
      </c>
      <c r="P43" s="5" t="str">
        <f t="array" ref="P43">IFERROR(INDEX(C:C,SMALL(IF($I$2:$I$450="ERROR", ROW($C$2:$C$450)),ROW()-1)), "")</f>
        <v/>
      </c>
      <c r="Q43" s="5" t="str">
        <f t="array" ref="Q43">IFERROR(INDEX(G:G,SMALL(IF($I$2:$I$450="ERROR", ROW($G$2:$G$450)),ROW()-1)), "")</f>
        <v/>
      </c>
      <c r="R43" s="8" t="str">
        <f t="shared" si="1"/>
        <v/>
      </c>
    </row>
    <row r="44" spans="1:18" x14ac:dyDescent="0.45">
      <c r="A44" s="3" t="s">
        <v>465</v>
      </c>
      <c r="B44" s="1" t="s">
        <v>44</v>
      </c>
      <c r="C44" s="5">
        <v>0.01</v>
      </c>
      <c r="D44" s="4">
        <v>9940</v>
      </c>
      <c r="E44" s="4">
        <v>9945</v>
      </c>
      <c r="F44" s="4">
        <v>9940</v>
      </c>
      <c r="G44" s="5">
        <v>5.0301810865191151E-4</v>
      </c>
      <c r="H44" s="6"/>
      <c r="I44" s="2" t="str">
        <f t="shared" si="0"/>
        <v>-</v>
      </c>
      <c r="J44" s="1" t="str">
        <f>IF(I44="ERROR",BeepMe(),"")</f>
        <v/>
      </c>
      <c r="M44" s="2" t="str">
        <f t="array" ref="M44">IFERROR(INDEX(I:I,SMALL(IF($I$2:$I$450="ERROR", ROW($I$2:$I$450)),ROW()-1)), "")</f>
        <v/>
      </c>
      <c r="N44" s="2" t="str">
        <f t="array" ref="N44">IFERROR(INDEX(A:A,SMALL(IF($I$2:$I$450="ERROR", ROW($A$2:$A$450)),ROW()-1)), "")</f>
        <v/>
      </c>
      <c r="O44" s="2" t="str">
        <f t="array" ref="O44">IFERROR(INDEX(B:B,SMALL(IF($I$2:$I$450="ERROR", ROW($B$2:$B$450)),ROW()-1)), "")</f>
        <v/>
      </c>
      <c r="P44" s="5" t="str">
        <f t="array" ref="P44">IFERROR(INDEX(C:C,SMALL(IF($I$2:$I$450="ERROR", ROW($C$2:$C$450)),ROW()-1)), "")</f>
        <v/>
      </c>
      <c r="Q44" s="5" t="str">
        <f t="array" ref="Q44">IFERROR(INDEX(G:G,SMALL(IF($I$2:$I$450="ERROR", ROW($G$2:$G$450)),ROW()-1)), "")</f>
        <v/>
      </c>
      <c r="R44" s="8" t="str">
        <f t="shared" si="1"/>
        <v/>
      </c>
    </row>
    <row r="45" spans="1:18" x14ac:dyDescent="0.45">
      <c r="A45" s="3" t="s">
        <v>466</v>
      </c>
      <c r="B45" s="1" t="s">
        <v>45</v>
      </c>
      <c r="C45" s="5">
        <v>0.01</v>
      </c>
      <c r="D45" s="4">
        <v>22755</v>
      </c>
      <c r="E45" s="4">
        <v>22755</v>
      </c>
      <c r="F45" s="4">
        <v>22730</v>
      </c>
      <c r="G45" s="5">
        <v>1.098659635245001E-3</v>
      </c>
      <c r="H45" s="6"/>
      <c r="I45" s="2" t="str">
        <f t="shared" si="0"/>
        <v>-</v>
      </c>
      <c r="J45" s="1" t="str">
        <f>IF(I45="ERROR",BeepMe(),"")</f>
        <v/>
      </c>
      <c r="M45" s="2" t="str">
        <f t="array" ref="M45">IFERROR(INDEX(I:I,SMALL(IF($I$2:$I$450="ERROR", ROW($I$2:$I$450)),ROW()-1)), "")</f>
        <v/>
      </c>
      <c r="N45" s="2" t="str">
        <f t="array" ref="N45">IFERROR(INDEX(A:A,SMALL(IF($I$2:$I$450="ERROR", ROW($A$2:$A$450)),ROW()-1)), "")</f>
        <v/>
      </c>
      <c r="O45" s="2" t="str">
        <f t="array" ref="O45">IFERROR(INDEX(B:B,SMALL(IF($I$2:$I$450="ERROR", ROW($B$2:$B$450)),ROW()-1)), "")</f>
        <v/>
      </c>
      <c r="P45" s="5" t="str">
        <f t="array" ref="P45">IFERROR(INDEX(C:C,SMALL(IF($I$2:$I$450="ERROR", ROW($C$2:$C$450)),ROW()-1)), "")</f>
        <v/>
      </c>
      <c r="Q45" s="5" t="str">
        <f t="array" ref="Q45">IFERROR(INDEX(G:G,SMALL(IF($I$2:$I$450="ERROR", ROW($G$2:$G$450)),ROW()-1)), "")</f>
        <v/>
      </c>
      <c r="R45" s="8" t="str">
        <f t="shared" si="1"/>
        <v/>
      </c>
    </row>
    <row r="46" spans="1:18" x14ac:dyDescent="0.45">
      <c r="A46" s="3" t="s">
        <v>467</v>
      </c>
      <c r="B46" s="1" t="s">
        <v>46</v>
      </c>
      <c r="C46" s="5">
        <v>0.01</v>
      </c>
      <c r="D46" s="4">
        <v>8680</v>
      </c>
      <c r="E46" s="4">
        <v>8680</v>
      </c>
      <c r="F46" s="4">
        <v>8675</v>
      </c>
      <c r="G46" s="5">
        <v>5.76036866359447E-4</v>
      </c>
      <c r="H46" s="6"/>
      <c r="I46" s="2" t="str">
        <f t="shared" si="0"/>
        <v>-</v>
      </c>
      <c r="J46" s="1" t="str">
        <f>IF(I46="ERROR",BeepMe(),"")</f>
        <v/>
      </c>
      <c r="M46" s="2" t="str">
        <f t="array" ref="M46">IFERROR(INDEX(I:I,SMALL(IF($I$2:$I$450="ERROR", ROW($I$2:$I$450)),ROW()-1)), "")</f>
        <v/>
      </c>
      <c r="N46" s="2" t="str">
        <f t="array" ref="N46">IFERROR(INDEX(A:A,SMALL(IF($I$2:$I$450="ERROR", ROW($A$2:$A$450)),ROW()-1)), "")</f>
        <v/>
      </c>
      <c r="O46" s="2" t="str">
        <f t="array" ref="O46">IFERROR(INDEX(B:B,SMALL(IF($I$2:$I$450="ERROR", ROW($B$2:$B$450)),ROW()-1)), "")</f>
        <v/>
      </c>
      <c r="P46" s="5" t="str">
        <f t="array" ref="P46">IFERROR(INDEX(C:C,SMALL(IF($I$2:$I$450="ERROR", ROW($C$2:$C$450)),ROW()-1)), "")</f>
        <v/>
      </c>
      <c r="Q46" s="5" t="str">
        <f t="array" ref="Q46">IFERROR(INDEX(G:G,SMALL(IF($I$2:$I$450="ERROR", ROW($G$2:$G$450)),ROW()-1)), "")</f>
        <v/>
      </c>
      <c r="R46" s="8" t="str">
        <f t="shared" si="1"/>
        <v/>
      </c>
    </row>
    <row r="47" spans="1:18" x14ac:dyDescent="0.45">
      <c r="A47" s="3" t="s">
        <v>468</v>
      </c>
      <c r="B47" s="1" t="s">
        <v>47</v>
      </c>
      <c r="C47" s="5">
        <v>0.01</v>
      </c>
      <c r="D47" s="4">
        <v>14645</v>
      </c>
      <c r="E47" s="4">
        <v>14645</v>
      </c>
      <c r="F47" s="4">
        <v>14640</v>
      </c>
      <c r="G47" s="5">
        <v>3.414134516899966E-4</v>
      </c>
      <c r="H47" s="6"/>
      <c r="I47" s="2" t="str">
        <f t="shared" si="0"/>
        <v>-</v>
      </c>
      <c r="J47" s="1" t="str">
        <f>IF(I47="ERROR",BeepMe(),"")</f>
        <v/>
      </c>
      <c r="M47" s="2" t="str">
        <f t="array" ref="M47">IFERROR(INDEX(I:I,SMALL(IF($I$2:$I$450="ERROR", ROW($I$2:$I$450)),ROW()-1)), "")</f>
        <v/>
      </c>
      <c r="N47" s="2" t="str">
        <f t="array" ref="N47">IFERROR(INDEX(A:A,SMALL(IF($I$2:$I$450="ERROR", ROW($A$2:$A$450)),ROW()-1)), "")</f>
        <v/>
      </c>
      <c r="O47" s="2" t="str">
        <f t="array" ref="O47">IFERROR(INDEX(B:B,SMALL(IF($I$2:$I$450="ERROR", ROW($B$2:$B$450)),ROW()-1)), "")</f>
        <v/>
      </c>
      <c r="P47" s="5" t="str">
        <f t="array" ref="P47">IFERROR(INDEX(C:C,SMALL(IF($I$2:$I$450="ERROR", ROW($C$2:$C$450)),ROW()-1)), "")</f>
        <v/>
      </c>
      <c r="Q47" s="5" t="str">
        <f t="array" ref="Q47">IFERROR(INDEX(G:G,SMALL(IF($I$2:$I$450="ERROR", ROW($G$2:$G$450)),ROW()-1)), "")</f>
        <v/>
      </c>
      <c r="R47" s="8" t="str">
        <f t="shared" si="1"/>
        <v/>
      </c>
    </row>
    <row r="48" spans="1:18" x14ac:dyDescent="0.45">
      <c r="A48" s="3" t="s">
        <v>469</v>
      </c>
      <c r="B48" s="1" t="s">
        <v>48</v>
      </c>
      <c r="C48" s="5">
        <v>0.01</v>
      </c>
      <c r="D48" s="4">
        <v>2980</v>
      </c>
      <c r="E48" s="4">
        <v>2985</v>
      </c>
      <c r="F48" s="4">
        <v>2980</v>
      </c>
      <c r="G48" s="5">
        <v>1.6778523489932886E-3</v>
      </c>
      <c r="H48" s="6"/>
      <c r="I48" s="2" t="str">
        <f t="shared" si="0"/>
        <v>-</v>
      </c>
      <c r="J48" s="1" t="str">
        <f>IF(I48="ERROR",BeepMe(),"")</f>
        <v/>
      </c>
      <c r="M48" s="2" t="str">
        <f t="array" ref="M48">IFERROR(INDEX(I:I,SMALL(IF($I$2:$I$450="ERROR", ROW($I$2:$I$450)),ROW()-1)), "")</f>
        <v/>
      </c>
      <c r="N48" s="2" t="str">
        <f t="array" ref="N48">IFERROR(INDEX(A:A,SMALL(IF($I$2:$I$450="ERROR", ROW($A$2:$A$450)),ROW()-1)), "")</f>
        <v/>
      </c>
      <c r="O48" s="2" t="str">
        <f t="array" ref="O48">IFERROR(INDEX(B:B,SMALL(IF($I$2:$I$450="ERROR", ROW($B$2:$B$450)),ROW()-1)), "")</f>
        <v/>
      </c>
      <c r="P48" s="5" t="str">
        <f t="array" ref="P48">IFERROR(INDEX(C:C,SMALL(IF($I$2:$I$450="ERROR", ROW($C$2:$C$450)),ROW()-1)), "")</f>
        <v/>
      </c>
      <c r="Q48" s="5" t="str">
        <f t="array" ref="Q48">IFERROR(INDEX(G:G,SMALL(IF($I$2:$I$450="ERROR", ROW($G$2:$G$450)),ROW()-1)), "")</f>
        <v/>
      </c>
      <c r="R48" s="8" t="str">
        <f t="shared" si="1"/>
        <v/>
      </c>
    </row>
    <row r="49" spans="1:18" x14ac:dyDescent="0.45">
      <c r="A49" s="3" t="s">
        <v>470</v>
      </c>
      <c r="B49" s="1" t="s">
        <v>49</v>
      </c>
      <c r="C49" s="5">
        <v>0.01</v>
      </c>
      <c r="D49" s="4">
        <v>3335</v>
      </c>
      <c r="E49" s="4">
        <v>3335</v>
      </c>
      <c r="F49" s="4">
        <v>3330</v>
      </c>
      <c r="G49" s="5">
        <v>1.4992503748125937E-3</v>
      </c>
      <c r="H49" s="6"/>
      <c r="I49" s="2" t="str">
        <f t="shared" si="0"/>
        <v>-</v>
      </c>
      <c r="J49" s="1" t="str">
        <f>IF(I49="ERROR",BeepMe(),"")</f>
        <v/>
      </c>
      <c r="M49" s="2" t="str">
        <f t="array" ref="M49">IFERROR(INDEX(I:I,SMALL(IF($I$2:$I$450="ERROR", ROW($I$2:$I$450)),ROW()-1)), "")</f>
        <v/>
      </c>
      <c r="N49" s="2" t="str">
        <f t="array" ref="N49">IFERROR(INDEX(A:A,SMALL(IF($I$2:$I$450="ERROR", ROW($A$2:$A$450)),ROW()-1)), "")</f>
        <v/>
      </c>
      <c r="O49" s="2" t="str">
        <f t="array" ref="O49">IFERROR(INDEX(B:B,SMALL(IF($I$2:$I$450="ERROR", ROW($B$2:$B$450)),ROW()-1)), "")</f>
        <v/>
      </c>
      <c r="P49" s="5" t="str">
        <f t="array" ref="P49">IFERROR(INDEX(C:C,SMALL(IF($I$2:$I$450="ERROR", ROW($C$2:$C$450)),ROW()-1)), "")</f>
        <v/>
      </c>
      <c r="Q49" s="5" t="str">
        <f t="array" ref="Q49">IFERROR(INDEX(G:G,SMALL(IF($I$2:$I$450="ERROR", ROW($G$2:$G$450)),ROW()-1)), "")</f>
        <v/>
      </c>
      <c r="R49" s="8" t="str">
        <f t="shared" si="1"/>
        <v/>
      </c>
    </row>
    <row r="50" spans="1:18" x14ac:dyDescent="0.45">
      <c r="A50" s="3" t="s">
        <v>471</v>
      </c>
      <c r="B50" s="1" t="s">
        <v>50</v>
      </c>
      <c r="C50" s="5">
        <v>0.01</v>
      </c>
      <c r="D50" s="4">
        <v>9915</v>
      </c>
      <c r="E50" s="4">
        <v>9920</v>
      </c>
      <c r="F50" s="4">
        <v>9900</v>
      </c>
      <c r="G50" s="5">
        <v>2.017145738779627E-3</v>
      </c>
      <c r="H50" s="6"/>
      <c r="I50" s="2" t="str">
        <f t="shared" si="0"/>
        <v>-</v>
      </c>
      <c r="J50" s="1" t="str">
        <f>IF(I50="ERROR",BeepMe(),"")</f>
        <v/>
      </c>
      <c r="M50" s="2" t="str">
        <f t="array" ref="M50">IFERROR(INDEX(I:I,SMALL(IF($I$2:$I$450="ERROR", ROW($I$2:$I$450)),ROW()-1)), "")</f>
        <v/>
      </c>
      <c r="N50" s="2" t="str">
        <f t="array" ref="N50">IFERROR(INDEX(A:A,SMALL(IF($I$2:$I$450="ERROR", ROW($A$2:$A$450)),ROW()-1)), "")</f>
        <v/>
      </c>
      <c r="O50" s="2" t="str">
        <f t="array" ref="O50">IFERROR(INDEX(B:B,SMALL(IF($I$2:$I$450="ERROR", ROW($B$2:$B$450)),ROW()-1)), "")</f>
        <v/>
      </c>
      <c r="P50" s="5" t="str">
        <f t="array" ref="P50">IFERROR(INDEX(C:C,SMALL(IF($I$2:$I$450="ERROR", ROW($C$2:$C$450)),ROW()-1)), "")</f>
        <v/>
      </c>
      <c r="Q50" s="5" t="str">
        <f t="array" ref="Q50">IFERROR(INDEX(G:G,SMALL(IF($I$2:$I$450="ERROR", ROW($G$2:$G$450)),ROW()-1)), "")</f>
        <v/>
      </c>
      <c r="R50" s="8" t="str">
        <f t="shared" si="1"/>
        <v/>
      </c>
    </row>
    <row r="51" spans="1:18" x14ac:dyDescent="0.45">
      <c r="A51" s="3" t="s">
        <v>472</v>
      </c>
      <c r="B51" s="1" t="s">
        <v>51</v>
      </c>
      <c r="C51" s="5">
        <v>0.01</v>
      </c>
      <c r="D51" s="4">
        <v>16985</v>
      </c>
      <c r="E51" s="4">
        <v>16985</v>
      </c>
      <c r="F51" s="4">
        <v>16935</v>
      </c>
      <c r="G51" s="5">
        <v>2.9437739181630853E-3</v>
      </c>
      <c r="H51" s="6"/>
      <c r="I51" s="2" t="str">
        <f t="shared" si="0"/>
        <v>-</v>
      </c>
      <c r="J51" s="1" t="str">
        <f>IF(I51="ERROR",BeepMe(),"")</f>
        <v/>
      </c>
      <c r="M51" s="2" t="str">
        <f t="array" ref="M51">IFERROR(INDEX(I:I,SMALL(IF($I$2:$I$450="ERROR", ROW($I$2:$I$450)),ROW()-1)), "")</f>
        <v/>
      </c>
      <c r="N51" s="2" t="str">
        <f t="array" ref="N51">IFERROR(INDEX(A:A,SMALL(IF($I$2:$I$450="ERROR", ROW($A$2:$A$450)),ROW()-1)), "")</f>
        <v/>
      </c>
      <c r="O51" s="2" t="str">
        <f t="array" ref="O51">IFERROR(INDEX(B:B,SMALL(IF($I$2:$I$450="ERROR", ROW($B$2:$B$450)),ROW()-1)), "")</f>
        <v/>
      </c>
      <c r="P51" s="5" t="str">
        <f t="array" ref="P51">IFERROR(INDEX(C:C,SMALL(IF($I$2:$I$450="ERROR", ROW($C$2:$C$450)),ROW()-1)), "")</f>
        <v/>
      </c>
      <c r="Q51" s="5" t="str">
        <f t="array" ref="Q51">IFERROR(INDEX(G:G,SMALL(IF($I$2:$I$450="ERROR", ROW($G$2:$G$450)),ROW()-1)), "")</f>
        <v/>
      </c>
      <c r="R51" s="8" t="str">
        <f t="shared" si="1"/>
        <v/>
      </c>
    </row>
    <row r="52" spans="1:18" x14ac:dyDescent="0.45">
      <c r="A52" s="3" t="s">
        <v>473</v>
      </c>
      <c r="B52" s="1" t="s">
        <v>52</v>
      </c>
      <c r="C52" s="5">
        <v>0.01</v>
      </c>
      <c r="D52" s="4">
        <v>32760</v>
      </c>
      <c r="E52" s="4">
        <v>32830</v>
      </c>
      <c r="F52" s="4">
        <v>32760</v>
      </c>
      <c r="G52" s="5">
        <v>2.136752136752137E-3</v>
      </c>
      <c r="H52" s="6"/>
      <c r="I52" s="2" t="str">
        <f t="shared" si="0"/>
        <v>-</v>
      </c>
      <c r="J52" s="1" t="str">
        <f>IF(I52="ERROR",BeepMe(),"")</f>
        <v/>
      </c>
      <c r="M52" s="2" t="str">
        <f t="array" ref="M52">IFERROR(INDEX(I:I,SMALL(IF($I$2:$I$450="ERROR", ROW($I$2:$I$450)),ROW()-1)), "")</f>
        <v/>
      </c>
      <c r="N52" s="2" t="str">
        <f t="array" ref="N52">IFERROR(INDEX(A:A,SMALL(IF($I$2:$I$450="ERROR", ROW($A$2:$A$450)),ROW()-1)), "")</f>
        <v/>
      </c>
      <c r="O52" s="2" t="str">
        <f t="array" ref="O52">IFERROR(INDEX(B:B,SMALL(IF($I$2:$I$450="ERROR", ROW($B$2:$B$450)),ROW()-1)), "")</f>
        <v/>
      </c>
      <c r="P52" s="5" t="str">
        <f t="array" ref="P52">IFERROR(INDEX(C:C,SMALL(IF($I$2:$I$450="ERROR", ROW($C$2:$C$450)),ROW()-1)), "")</f>
        <v/>
      </c>
      <c r="Q52" s="5" t="str">
        <f t="array" ref="Q52">IFERROR(INDEX(G:G,SMALL(IF($I$2:$I$450="ERROR", ROW($G$2:$G$450)),ROW()-1)), "")</f>
        <v/>
      </c>
      <c r="R52" s="8" t="str">
        <f t="shared" si="1"/>
        <v/>
      </c>
    </row>
    <row r="53" spans="1:18" x14ac:dyDescent="0.45">
      <c r="A53" s="3" t="s">
        <v>474</v>
      </c>
      <c r="B53" s="1" t="s">
        <v>53</v>
      </c>
      <c r="C53" s="5">
        <v>0.01</v>
      </c>
      <c r="D53" s="4">
        <v>7425</v>
      </c>
      <c r="E53" s="4">
        <v>7425</v>
      </c>
      <c r="F53" s="4">
        <v>7420</v>
      </c>
      <c r="G53" s="5">
        <v>6.7340067340067344E-4</v>
      </c>
      <c r="H53" s="6"/>
      <c r="I53" s="2" t="str">
        <f t="shared" si="0"/>
        <v>-</v>
      </c>
      <c r="J53" s="1" t="str">
        <f>IF(I53="ERROR",BeepMe(),"")</f>
        <v/>
      </c>
      <c r="M53" s="2" t="str">
        <f t="array" ref="M53">IFERROR(INDEX(I:I,SMALL(IF($I$2:$I$450="ERROR", ROW($I$2:$I$450)),ROW()-1)), "")</f>
        <v/>
      </c>
      <c r="N53" s="2" t="str">
        <f t="array" ref="N53">IFERROR(INDEX(A:A,SMALL(IF($I$2:$I$450="ERROR", ROW($A$2:$A$450)),ROW()-1)), "")</f>
        <v/>
      </c>
      <c r="O53" s="2" t="str">
        <f t="array" ref="O53">IFERROR(INDEX(B:B,SMALL(IF($I$2:$I$450="ERROR", ROW($B$2:$B$450)),ROW()-1)), "")</f>
        <v/>
      </c>
      <c r="P53" s="5" t="str">
        <f t="array" ref="P53">IFERROR(INDEX(C:C,SMALL(IF($I$2:$I$450="ERROR", ROW($C$2:$C$450)),ROW()-1)), "")</f>
        <v/>
      </c>
      <c r="Q53" s="5" t="str">
        <f t="array" ref="Q53">IFERROR(INDEX(G:G,SMALL(IF($I$2:$I$450="ERROR", ROW($G$2:$G$450)),ROW()-1)), "")</f>
        <v/>
      </c>
      <c r="R53" s="8" t="str">
        <f t="shared" si="1"/>
        <v/>
      </c>
    </row>
    <row r="54" spans="1:18" x14ac:dyDescent="0.45">
      <c r="A54" s="3" t="s">
        <v>475</v>
      </c>
      <c r="B54" s="1" t="s">
        <v>54</v>
      </c>
      <c r="C54" s="5">
        <v>0.01</v>
      </c>
      <c r="D54" s="4">
        <v>10035</v>
      </c>
      <c r="E54" s="4">
        <v>10035</v>
      </c>
      <c r="F54" s="4">
        <v>10010</v>
      </c>
      <c r="G54" s="5">
        <v>2.4912805181863478E-3</v>
      </c>
      <c r="H54" s="6"/>
      <c r="I54" s="2" t="str">
        <f t="shared" si="0"/>
        <v>-</v>
      </c>
      <c r="J54" s="1" t="str">
        <f>IF(I54="ERROR",BeepMe(),"")</f>
        <v/>
      </c>
      <c r="M54" s="2" t="str">
        <f t="array" ref="M54">IFERROR(INDEX(I:I,SMALL(IF($I$2:$I$450="ERROR", ROW($I$2:$I$450)),ROW()-1)), "")</f>
        <v/>
      </c>
      <c r="N54" s="2" t="str">
        <f t="array" ref="N54">IFERROR(INDEX(A:A,SMALL(IF($I$2:$I$450="ERROR", ROW($A$2:$A$450)),ROW()-1)), "")</f>
        <v/>
      </c>
      <c r="O54" s="2" t="str">
        <f t="array" ref="O54">IFERROR(INDEX(B:B,SMALL(IF($I$2:$I$450="ERROR", ROW($B$2:$B$450)),ROW()-1)), "")</f>
        <v/>
      </c>
      <c r="P54" s="5" t="str">
        <f t="array" ref="P54">IFERROR(INDEX(C:C,SMALL(IF($I$2:$I$450="ERROR", ROW($C$2:$C$450)),ROW()-1)), "")</f>
        <v/>
      </c>
      <c r="Q54" s="5" t="str">
        <f t="array" ref="Q54">IFERROR(INDEX(G:G,SMALL(IF($I$2:$I$450="ERROR", ROW($G$2:$G$450)),ROW()-1)), "")</f>
        <v/>
      </c>
      <c r="R54" s="8" t="str">
        <f t="shared" si="1"/>
        <v/>
      </c>
    </row>
    <row r="55" spans="1:18" x14ac:dyDescent="0.45">
      <c r="A55" s="3" t="s">
        <v>476</v>
      </c>
      <c r="B55" s="1" t="s">
        <v>55</v>
      </c>
      <c r="C55" s="5">
        <v>0.01</v>
      </c>
      <c r="D55" s="4">
        <v>15775</v>
      </c>
      <c r="E55" s="4">
        <v>15815</v>
      </c>
      <c r="F55" s="4">
        <v>15765</v>
      </c>
      <c r="G55" s="5">
        <v>3.1695721077654518E-3</v>
      </c>
      <c r="H55" s="6"/>
      <c r="I55" s="2" t="str">
        <f t="shared" si="0"/>
        <v>-</v>
      </c>
      <c r="J55" s="1" t="str">
        <f>IF(I55="ERROR",BeepMe(),"")</f>
        <v/>
      </c>
      <c r="M55" s="2" t="str">
        <f t="array" ref="M55">IFERROR(INDEX(I:I,SMALL(IF($I$2:$I$450="ERROR", ROW($I$2:$I$450)),ROW()-1)), "")</f>
        <v/>
      </c>
      <c r="N55" s="2" t="str">
        <f t="array" ref="N55">IFERROR(INDEX(A:A,SMALL(IF($I$2:$I$450="ERROR", ROW($A$2:$A$450)),ROW()-1)), "")</f>
        <v/>
      </c>
      <c r="O55" s="2" t="str">
        <f t="array" ref="O55">IFERROR(INDEX(B:B,SMALL(IF($I$2:$I$450="ERROR", ROW($B$2:$B$450)),ROW()-1)), "")</f>
        <v/>
      </c>
      <c r="P55" s="5" t="str">
        <f t="array" ref="P55">IFERROR(INDEX(C:C,SMALL(IF($I$2:$I$450="ERROR", ROW($C$2:$C$450)),ROW()-1)), "")</f>
        <v/>
      </c>
      <c r="Q55" s="5" t="str">
        <f t="array" ref="Q55">IFERROR(INDEX(G:G,SMALL(IF($I$2:$I$450="ERROR", ROW($G$2:$G$450)),ROW()-1)), "")</f>
        <v/>
      </c>
      <c r="R55" s="8" t="str">
        <f t="shared" si="1"/>
        <v/>
      </c>
    </row>
    <row r="56" spans="1:18" x14ac:dyDescent="0.45">
      <c r="A56" s="3" t="s">
        <v>477</v>
      </c>
      <c r="B56" s="1" t="s">
        <v>56</v>
      </c>
      <c r="C56" s="5">
        <v>5.0000000000000001E-3</v>
      </c>
      <c r="D56" s="4">
        <v>9720</v>
      </c>
      <c r="E56" s="4">
        <v>9720</v>
      </c>
      <c r="F56" s="4">
        <v>9715</v>
      </c>
      <c r="G56" s="5">
        <v>5.1440329218107E-4</v>
      </c>
      <c r="H56" s="6"/>
      <c r="I56" s="2" t="str">
        <f t="shared" si="0"/>
        <v>-</v>
      </c>
      <c r="J56" s="1" t="str">
        <f>IF(I56="ERROR",BeepMe(),"")</f>
        <v/>
      </c>
      <c r="M56" s="2" t="str">
        <f t="array" ref="M56">IFERROR(INDEX(I:I,SMALL(IF($I$2:$I$450="ERROR", ROW($I$2:$I$450)),ROW()-1)), "")</f>
        <v/>
      </c>
      <c r="N56" s="2" t="str">
        <f t="array" ref="N56">IFERROR(INDEX(A:A,SMALL(IF($I$2:$I$450="ERROR", ROW($A$2:$A$450)),ROW()-1)), "")</f>
        <v/>
      </c>
      <c r="O56" s="2" t="str">
        <f t="array" ref="O56">IFERROR(INDEX(B:B,SMALL(IF($I$2:$I$450="ERROR", ROW($B$2:$B$450)),ROW()-1)), "")</f>
        <v/>
      </c>
      <c r="P56" s="5" t="str">
        <f t="array" ref="P56">IFERROR(INDEX(C:C,SMALL(IF($I$2:$I$450="ERROR", ROW($C$2:$C$450)),ROW()-1)), "")</f>
        <v/>
      </c>
      <c r="Q56" s="5" t="str">
        <f t="array" ref="Q56">IFERROR(INDEX(G:G,SMALL(IF($I$2:$I$450="ERROR", ROW($G$2:$G$450)),ROW()-1)), "")</f>
        <v/>
      </c>
      <c r="R56" s="8" t="str">
        <f t="shared" si="1"/>
        <v/>
      </c>
    </row>
    <row r="57" spans="1:18" x14ac:dyDescent="0.45">
      <c r="A57" s="3" t="s">
        <v>478</v>
      </c>
      <c r="B57" s="1" t="s">
        <v>57</v>
      </c>
      <c r="C57" s="5">
        <v>0.01</v>
      </c>
      <c r="D57" s="4">
        <v>11895</v>
      </c>
      <c r="E57" s="4">
        <v>11920</v>
      </c>
      <c r="F57" s="4">
        <v>11885</v>
      </c>
      <c r="G57" s="5">
        <v>2.9424127784783522E-3</v>
      </c>
      <c r="H57" s="6"/>
      <c r="I57" s="2" t="str">
        <f t="shared" si="0"/>
        <v>-</v>
      </c>
      <c r="J57" s="1" t="str">
        <f>IF(I57="ERROR",BeepMe(),"")</f>
        <v/>
      </c>
      <c r="M57" s="2" t="str">
        <f t="array" ref="M57">IFERROR(INDEX(I:I,SMALL(IF($I$2:$I$450="ERROR", ROW($I$2:$I$450)),ROW()-1)), "")</f>
        <v/>
      </c>
      <c r="N57" s="2" t="str">
        <f t="array" ref="N57">IFERROR(INDEX(A:A,SMALL(IF($I$2:$I$450="ERROR", ROW($A$2:$A$450)),ROW()-1)), "")</f>
        <v/>
      </c>
      <c r="O57" s="2" t="str">
        <f t="array" ref="O57">IFERROR(INDEX(B:B,SMALL(IF($I$2:$I$450="ERROR", ROW($B$2:$B$450)),ROW()-1)), "")</f>
        <v/>
      </c>
      <c r="P57" s="5" t="str">
        <f t="array" ref="P57">IFERROR(INDEX(C:C,SMALL(IF($I$2:$I$450="ERROR", ROW($C$2:$C$450)),ROW()-1)), "")</f>
        <v/>
      </c>
      <c r="Q57" s="5" t="str">
        <f t="array" ref="Q57">IFERROR(INDEX(G:G,SMALL(IF($I$2:$I$450="ERROR", ROW($G$2:$G$450)),ROW()-1)), "")</f>
        <v/>
      </c>
      <c r="R57" s="8" t="str">
        <f t="shared" si="1"/>
        <v/>
      </c>
    </row>
    <row r="58" spans="1:18" x14ac:dyDescent="0.45">
      <c r="A58" s="3" t="s">
        <v>479</v>
      </c>
      <c r="B58" s="1" t="s">
        <v>58</v>
      </c>
      <c r="C58" s="5">
        <v>0.01</v>
      </c>
      <c r="D58" s="4">
        <v>11850</v>
      </c>
      <c r="E58" s="4">
        <v>11850</v>
      </c>
      <c r="F58" s="4">
        <v>11815</v>
      </c>
      <c r="G58" s="5">
        <v>2.9535864978902952E-3</v>
      </c>
      <c r="H58" s="6"/>
      <c r="I58" s="2" t="str">
        <f t="shared" si="0"/>
        <v>-</v>
      </c>
      <c r="J58" s="1" t="str">
        <f>IF(I58="ERROR",BeepMe(),"")</f>
        <v/>
      </c>
      <c r="M58" s="2" t="str">
        <f t="array" ref="M58">IFERROR(INDEX(I:I,SMALL(IF($I$2:$I$450="ERROR", ROW($I$2:$I$450)),ROW()-1)), "")</f>
        <v/>
      </c>
      <c r="N58" s="2" t="str">
        <f t="array" ref="N58">IFERROR(INDEX(A:A,SMALL(IF($I$2:$I$450="ERROR", ROW($A$2:$A$450)),ROW()-1)), "")</f>
        <v/>
      </c>
      <c r="O58" s="2" t="str">
        <f t="array" ref="O58">IFERROR(INDEX(B:B,SMALL(IF($I$2:$I$450="ERROR", ROW($B$2:$B$450)),ROW()-1)), "")</f>
        <v/>
      </c>
      <c r="P58" s="5" t="str">
        <f t="array" ref="P58">IFERROR(INDEX(C:C,SMALL(IF($I$2:$I$450="ERROR", ROW($C$2:$C$450)),ROW()-1)), "")</f>
        <v/>
      </c>
      <c r="Q58" s="5" t="str">
        <f t="array" ref="Q58">IFERROR(INDEX(G:G,SMALL(IF($I$2:$I$450="ERROR", ROW($G$2:$G$450)),ROW()-1)), "")</f>
        <v/>
      </c>
      <c r="R58" s="8" t="str">
        <f t="shared" si="1"/>
        <v/>
      </c>
    </row>
    <row r="59" spans="1:18" x14ac:dyDescent="0.45">
      <c r="A59" s="3" t="s">
        <v>480</v>
      </c>
      <c r="B59" s="1" t="s">
        <v>59</v>
      </c>
      <c r="C59" s="5">
        <v>0.01</v>
      </c>
      <c r="D59" s="4">
        <v>7550</v>
      </c>
      <c r="E59" s="4">
        <v>7560</v>
      </c>
      <c r="F59" s="4">
        <v>7550</v>
      </c>
      <c r="G59" s="5">
        <v>1.3245033112582781E-3</v>
      </c>
      <c r="H59" s="6"/>
      <c r="I59" s="2" t="str">
        <f t="shared" si="0"/>
        <v>-</v>
      </c>
      <c r="J59" s="1" t="str">
        <f>IF(I59="ERROR",BeepMe(),"")</f>
        <v/>
      </c>
      <c r="M59" s="2" t="str">
        <f t="array" ref="M59">IFERROR(INDEX(I:I,SMALL(IF($I$2:$I$450="ERROR", ROW($I$2:$I$450)),ROW()-1)), "")</f>
        <v/>
      </c>
      <c r="N59" s="2" t="str">
        <f t="array" ref="N59">IFERROR(INDEX(A:A,SMALL(IF($I$2:$I$450="ERROR", ROW($A$2:$A$450)),ROW()-1)), "")</f>
        <v/>
      </c>
      <c r="O59" s="2" t="str">
        <f t="array" ref="O59">IFERROR(INDEX(B:B,SMALL(IF($I$2:$I$450="ERROR", ROW($B$2:$B$450)),ROW()-1)), "")</f>
        <v/>
      </c>
      <c r="P59" s="5" t="str">
        <f t="array" ref="P59">IFERROR(INDEX(C:C,SMALL(IF($I$2:$I$450="ERROR", ROW($C$2:$C$450)),ROW()-1)), "")</f>
        <v/>
      </c>
      <c r="Q59" s="5" t="str">
        <f t="array" ref="Q59">IFERROR(INDEX(G:G,SMALL(IF($I$2:$I$450="ERROR", ROW($G$2:$G$450)),ROW()-1)), "")</f>
        <v/>
      </c>
      <c r="R59" s="8" t="str">
        <f t="shared" si="1"/>
        <v/>
      </c>
    </row>
    <row r="60" spans="1:18" x14ac:dyDescent="0.45">
      <c r="A60" s="3" t="s">
        <v>481</v>
      </c>
      <c r="B60" s="1" t="s">
        <v>60</v>
      </c>
      <c r="C60" s="5">
        <v>0</v>
      </c>
      <c r="D60" s="4">
        <v>6205</v>
      </c>
      <c r="E60" s="4">
        <v>6215</v>
      </c>
      <c r="F60" s="4">
        <v>6205</v>
      </c>
      <c r="G60" s="5">
        <v>1.6116035455278001E-3</v>
      </c>
      <c r="H60" s="6"/>
      <c r="I60" s="2" t="str">
        <f t="shared" si="0"/>
        <v>ERROR</v>
      </c>
      <c r="J60" s="1" t="str">
        <f>IF(I60="ERROR",BeepMe(),"")</f>
        <v/>
      </c>
      <c r="M60" s="2" t="str">
        <f t="array" ref="M60">IFERROR(INDEX(I:I,SMALL(IF($I$2:$I$450="ERROR", ROW($I$2:$I$450)),ROW()-1)), "")</f>
        <v/>
      </c>
      <c r="N60" s="2" t="str">
        <f t="array" ref="N60">IFERROR(INDEX(A:A,SMALL(IF($I$2:$I$450="ERROR", ROW($A$2:$A$450)),ROW()-1)), "")</f>
        <v/>
      </c>
      <c r="O60" s="2" t="str">
        <f t="array" ref="O60">IFERROR(INDEX(B:B,SMALL(IF($I$2:$I$450="ERROR", ROW($B$2:$B$450)),ROW()-1)), "")</f>
        <v/>
      </c>
      <c r="P60" s="5" t="str">
        <f t="array" ref="P60">IFERROR(INDEX(C:C,SMALL(IF($I$2:$I$450="ERROR", ROW($C$2:$C$450)),ROW()-1)), "")</f>
        <v/>
      </c>
      <c r="Q60" s="5" t="str">
        <f t="array" ref="Q60">IFERROR(INDEX(G:G,SMALL(IF($I$2:$I$450="ERROR", ROW($G$2:$G$450)),ROW()-1)), "")</f>
        <v/>
      </c>
      <c r="R60" s="8" t="str">
        <f t="shared" si="1"/>
        <v/>
      </c>
    </row>
    <row r="61" spans="1:18" x14ac:dyDescent="0.45">
      <c r="A61" s="3" t="s">
        <v>482</v>
      </c>
      <c r="B61" s="1" t="s">
        <v>61</v>
      </c>
      <c r="C61" s="5">
        <v>0.01</v>
      </c>
      <c r="D61" s="4">
        <v>27570</v>
      </c>
      <c r="E61" s="4">
        <v>27570</v>
      </c>
      <c r="F61" s="4">
        <v>27520</v>
      </c>
      <c r="G61" s="5">
        <v>1.8135654697134566E-3</v>
      </c>
      <c r="H61" s="6"/>
      <c r="I61" s="2" t="str">
        <f t="shared" si="0"/>
        <v>-</v>
      </c>
      <c r="J61" s="1" t="str">
        <f>IF(I61="ERROR",BeepMe(),"")</f>
        <v/>
      </c>
      <c r="M61" s="2" t="str">
        <f t="array" ref="M61">IFERROR(INDEX(I:I,SMALL(IF($I$2:$I$450="ERROR", ROW($I$2:$I$450)),ROW()-1)), "")</f>
        <v/>
      </c>
      <c r="N61" s="2" t="str">
        <f t="array" ref="N61">IFERROR(INDEX(A:A,SMALL(IF($I$2:$I$450="ERROR", ROW($A$2:$A$450)),ROW()-1)), "")</f>
        <v/>
      </c>
      <c r="O61" s="2" t="str">
        <f t="array" ref="O61">IFERROR(INDEX(B:B,SMALL(IF($I$2:$I$450="ERROR", ROW($B$2:$B$450)),ROW()-1)), "")</f>
        <v/>
      </c>
      <c r="P61" s="5" t="str">
        <f t="array" ref="P61">IFERROR(INDEX(C:C,SMALL(IF($I$2:$I$450="ERROR", ROW($C$2:$C$450)),ROW()-1)), "")</f>
        <v/>
      </c>
      <c r="Q61" s="5" t="str">
        <f t="array" ref="Q61">IFERROR(INDEX(G:G,SMALL(IF($I$2:$I$450="ERROR", ROW($G$2:$G$450)),ROW()-1)), "")</f>
        <v/>
      </c>
      <c r="R61" s="8" t="str">
        <f t="shared" si="1"/>
        <v/>
      </c>
    </row>
    <row r="62" spans="1:18" x14ac:dyDescent="0.45">
      <c r="A62" s="3" t="s">
        <v>483</v>
      </c>
      <c r="B62" s="1" t="s">
        <v>62</v>
      </c>
      <c r="C62" s="5">
        <v>0.01</v>
      </c>
      <c r="D62" s="4">
        <v>9265</v>
      </c>
      <c r="E62" s="4">
        <v>9270</v>
      </c>
      <c r="F62" s="4">
        <v>9240</v>
      </c>
      <c r="G62" s="5">
        <v>3.2379924446842958E-3</v>
      </c>
      <c r="H62" s="6"/>
      <c r="I62" s="2" t="str">
        <f t="shared" si="0"/>
        <v>-</v>
      </c>
      <c r="J62" s="1" t="str">
        <f>IF(I62="ERROR",BeepMe(),"")</f>
        <v/>
      </c>
      <c r="M62" s="2" t="str">
        <f t="array" ref="M62">IFERROR(INDEX(I:I,SMALL(IF($I$2:$I$450="ERROR", ROW($I$2:$I$450)),ROW()-1)), "")</f>
        <v/>
      </c>
      <c r="N62" s="2" t="str">
        <f t="array" ref="N62">IFERROR(INDEX(A:A,SMALL(IF($I$2:$I$450="ERROR", ROW($A$2:$A$450)),ROW()-1)), "")</f>
        <v/>
      </c>
      <c r="O62" s="2" t="str">
        <f t="array" ref="O62">IFERROR(INDEX(B:B,SMALL(IF($I$2:$I$450="ERROR", ROW($B$2:$B$450)),ROW()-1)), "")</f>
        <v/>
      </c>
      <c r="P62" s="5" t="str">
        <f t="array" ref="P62">IFERROR(INDEX(C:C,SMALL(IF($I$2:$I$450="ERROR", ROW($C$2:$C$450)),ROW()-1)), "")</f>
        <v/>
      </c>
      <c r="Q62" s="5" t="str">
        <f t="array" ref="Q62">IFERROR(INDEX(G:G,SMALL(IF($I$2:$I$450="ERROR", ROW($G$2:$G$450)),ROW()-1)), "")</f>
        <v/>
      </c>
      <c r="R62" s="8" t="str">
        <f t="shared" si="1"/>
        <v/>
      </c>
    </row>
    <row r="63" spans="1:18" x14ac:dyDescent="0.45">
      <c r="A63" s="3" t="s">
        <v>484</v>
      </c>
      <c r="B63" s="1" t="s">
        <v>63</v>
      </c>
      <c r="C63" s="5">
        <v>0.01</v>
      </c>
      <c r="D63" s="4">
        <v>51585</v>
      </c>
      <c r="E63" s="4">
        <v>51720</v>
      </c>
      <c r="F63" s="4">
        <v>51585</v>
      </c>
      <c r="G63" s="5">
        <v>2.6170398371619659E-3</v>
      </c>
      <c r="H63" s="6"/>
      <c r="I63" s="2" t="str">
        <f t="shared" si="0"/>
        <v>-</v>
      </c>
      <c r="J63" s="1" t="str">
        <f>IF(I63="ERROR",BeepMe(),"")</f>
        <v/>
      </c>
      <c r="M63" s="2" t="str">
        <f t="array" ref="M63">IFERROR(INDEX(I:I,SMALL(IF($I$2:$I$450="ERROR", ROW($I$2:$I$450)),ROW()-1)), "")</f>
        <v/>
      </c>
      <c r="N63" s="2" t="str">
        <f t="array" ref="N63">IFERROR(INDEX(A:A,SMALL(IF($I$2:$I$450="ERROR", ROW($A$2:$A$450)),ROW()-1)), "")</f>
        <v/>
      </c>
      <c r="O63" s="2" t="str">
        <f t="array" ref="O63">IFERROR(INDEX(B:B,SMALL(IF($I$2:$I$450="ERROR", ROW($B$2:$B$450)),ROW()-1)), "")</f>
        <v/>
      </c>
      <c r="P63" s="5" t="str">
        <f t="array" ref="P63">IFERROR(INDEX(C:C,SMALL(IF($I$2:$I$450="ERROR", ROW($C$2:$C$450)),ROW()-1)), "")</f>
        <v/>
      </c>
      <c r="Q63" s="5" t="str">
        <f t="array" ref="Q63">IFERROR(INDEX(G:G,SMALL(IF($I$2:$I$450="ERROR", ROW($G$2:$G$450)),ROW()-1)), "")</f>
        <v/>
      </c>
      <c r="R63" s="8" t="str">
        <f t="shared" si="1"/>
        <v/>
      </c>
    </row>
    <row r="64" spans="1:18" x14ac:dyDescent="0.45">
      <c r="A64" s="3" t="s">
        <v>485</v>
      </c>
      <c r="B64" s="1" t="s">
        <v>64</v>
      </c>
      <c r="C64" s="5">
        <v>0.01</v>
      </c>
      <c r="D64" s="4">
        <v>30215</v>
      </c>
      <c r="E64" s="4">
        <v>30215</v>
      </c>
      <c r="F64" s="4">
        <v>30200</v>
      </c>
      <c r="G64" s="5">
        <v>4.9644216448783713E-4</v>
      </c>
      <c r="H64" s="6"/>
      <c r="I64" s="2" t="str">
        <f t="shared" si="0"/>
        <v>-</v>
      </c>
      <c r="J64" s="1" t="str">
        <f>IF(I64="ERROR",BeepMe(),"")</f>
        <v/>
      </c>
      <c r="M64" s="2" t="str">
        <f t="array" ref="M64">IFERROR(INDEX(I:I,SMALL(IF($I$2:$I$450="ERROR", ROW($I$2:$I$450)),ROW()-1)), "")</f>
        <v/>
      </c>
      <c r="N64" s="2" t="str">
        <f t="array" ref="N64">IFERROR(INDEX(A:A,SMALL(IF($I$2:$I$450="ERROR", ROW($A$2:$A$450)),ROW()-1)), "")</f>
        <v/>
      </c>
      <c r="O64" s="2" t="str">
        <f t="array" ref="O64">IFERROR(INDEX(B:B,SMALL(IF($I$2:$I$450="ERROR", ROW($B$2:$B$450)),ROW()-1)), "")</f>
        <v/>
      </c>
      <c r="P64" s="5" t="str">
        <f t="array" ref="P64">IFERROR(INDEX(C:C,SMALL(IF($I$2:$I$450="ERROR", ROW($C$2:$C$450)),ROW()-1)), "")</f>
        <v/>
      </c>
      <c r="Q64" s="5" t="str">
        <f t="array" ref="Q64">IFERROR(INDEX(G:G,SMALL(IF($I$2:$I$450="ERROR", ROW($G$2:$G$450)),ROW()-1)), "")</f>
        <v/>
      </c>
      <c r="R64" s="8" t="str">
        <f t="shared" si="1"/>
        <v/>
      </c>
    </row>
    <row r="65" spans="1:18" x14ac:dyDescent="0.45">
      <c r="A65" s="3" t="s">
        <v>486</v>
      </c>
      <c r="B65" s="1" t="s">
        <v>65</v>
      </c>
      <c r="C65" s="5">
        <v>0.01</v>
      </c>
      <c r="D65" s="4">
        <v>5255</v>
      </c>
      <c r="E65" s="4">
        <v>5260</v>
      </c>
      <c r="F65" s="4">
        <v>5255</v>
      </c>
      <c r="G65" s="5">
        <v>9.5147478591817321E-4</v>
      </c>
      <c r="H65" s="6"/>
      <c r="I65" s="2" t="str">
        <f t="shared" si="0"/>
        <v>-</v>
      </c>
      <c r="J65" s="1" t="str">
        <f>IF(I65="ERROR",BeepMe(),"")</f>
        <v/>
      </c>
      <c r="M65" s="2" t="str">
        <f t="array" ref="M65">IFERROR(INDEX(I:I,SMALL(IF($I$2:$I$450="ERROR", ROW($I$2:$I$450)),ROW()-1)), "")</f>
        <v/>
      </c>
      <c r="N65" s="2" t="str">
        <f t="array" ref="N65">IFERROR(INDEX(A:A,SMALL(IF($I$2:$I$450="ERROR", ROW($A$2:$A$450)),ROW()-1)), "")</f>
        <v/>
      </c>
      <c r="O65" s="2" t="str">
        <f t="array" ref="O65">IFERROR(INDEX(B:B,SMALL(IF($I$2:$I$450="ERROR", ROW($B$2:$B$450)),ROW()-1)), "")</f>
        <v/>
      </c>
      <c r="P65" s="5" t="str">
        <f t="array" ref="P65">IFERROR(INDEX(C:C,SMALL(IF($I$2:$I$450="ERROR", ROW($C$2:$C$450)),ROW()-1)), "")</f>
        <v/>
      </c>
      <c r="Q65" s="5" t="str">
        <f t="array" ref="Q65">IFERROR(INDEX(G:G,SMALL(IF($I$2:$I$450="ERROR", ROW($G$2:$G$450)),ROW()-1)), "")</f>
        <v/>
      </c>
      <c r="R65" s="8" t="str">
        <f t="shared" si="1"/>
        <v/>
      </c>
    </row>
    <row r="66" spans="1:18" x14ac:dyDescent="0.45">
      <c r="A66" s="3" t="s">
        <v>487</v>
      </c>
      <c r="B66" s="1" t="s">
        <v>66</v>
      </c>
      <c r="C66" s="5">
        <v>4.0000000000000001E-3</v>
      </c>
      <c r="D66" s="4">
        <v>5410</v>
      </c>
      <c r="E66" s="4">
        <v>5415</v>
      </c>
      <c r="F66" s="4">
        <v>5410</v>
      </c>
      <c r="G66" s="5">
        <v>9.2421441774491681E-4</v>
      </c>
      <c r="H66" s="6"/>
      <c r="I66" s="2" t="str">
        <f t="shared" si="0"/>
        <v>-</v>
      </c>
      <c r="J66" s="1" t="str">
        <f>IF(I66="ERROR",BeepMe(),"")</f>
        <v/>
      </c>
      <c r="M66" s="2" t="str">
        <f t="array" ref="M66">IFERROR(INDEX(I:I,SMALL(IF($I$2:$I$450="ERROR", ROW($I$2:$I$450)),ROW()-1)), "")</f>
        <v/>
      </c>
      <c r="N66" s="2" t="str">
        <f t="array" ref="N66">IFERROR(INDEX(A:A,SMALL(IF($I$2:$I$450="ERROR", ROW($A$2:$A$450)),ROW()-1)), "")</f>
        <v/>
      </c>
      <c r="O66" s="2" t="str">
        <f t="array" ref="O66">IFERROR(INDEX(B:B,SMALL(IF($I$2:$I$450="ERROR", ROW($B$2:$B$450)),ROW()-1)), "")</f>
        <v/>
      </c>
      <c r="P66" s="5" t="str">
        <f t="array" ref="P66">IFERROR(INDEX(C:C,SMALL(IF($I$2:$I$450="ERROR", ROW($C$2:$C$450)),ROW()-1)), "")</f>
        <v/>
      </c>
      <c r="Q66" s="5" t="str">
        <f t="array" ref="Q66">IFERROR(INDEX(G:G,SMALL(IF($I$2:$I$450="ERROR", ROW($G$2:$G$450)),ROW()-1)), "")</f>
        <v/>
      </c>
      <c r="R66" s="8" t="str">
        <f t="shared" si="1"/>
        <v/>
      </c>
    </row>
    <row r="67" spans="1:18" x14ac:dyDescent="0.45">
      <c r="A67" s="3" t="s">
        <v>488</v>
      </c>
      <c r="B67" s="1" t="s">
        <v>67</v>
      </c>
      <c r="C67" s="5">
        <v>0</v>
      </c>
      <c r="D67" s="4">
        <v>39160</v>
      </c>
      <c r="E67" s="4">
        <v>39160</v>
      </c>
      <c r="F67" s="4">
        <v>39150</v>
      </c>
      <c r="G67" s="5">
        <v>2.5536261491317672E-4</v>
      </c>
      <c r="H67" s="6"/>
      <c r="I67" s="2" t="str">
        <f t="shared" ref="I67:I130" si="2">IF(G67&gt;C67, "ERROR", "-")</f>
        <v>ERROR</v>
      </c>
      <c r="J67" s="1" t="str">
        <f>IF(I67="ERROR",BeepMe(),"")</f>
        <v/>
      </c>
      <c r="M67" s="2" t="str">
        <f t="array" ref="M67">IFERROR(INDEX(I:I,SMALL(IF($I$2:$I$450="ERROR", ROW($I$2:$I$450)),ROW()-1)), "")</f>
        <v/>
      </c>
      <c r="N67" s="2" t="str">
        <f t="array" ref="N67">IFERROR(INDEX(A:A,SMALL(IF($I$2:$I$450="ERROR", ROW($A$2:$A$450)),ROW()-1)), "")</f>
        <v/>
      </c>
      <c r="O67" s="2" t="str">
        <f t="array" ref="O67">IFERROR(INDEX(B:B,SMALL(IF($I$2:$I$450="ERROR", ROW($B$2:$B$450)),ROW()-1)), "")</f>
        <v/>
      </c>
      <c r="P67" s="5" t="str">
        <f t="array" ref="P67">IFERROR(INDEX(C:C,SMALL(IF($I$2:$I$450="ERROR", ROW($C$2:$C$450)),ROW()-1)), "")</f>
        <v/>
      </c>
      <c r="Q67" s="5" t="str">
        <f t="array" ref="Q67">IFERROR(INDEX(G:G,SMALL(IF($I$2:$I$450="ERROR", ROW($G$2:$G$450)),ROW()-1)), "")</f>
        <v/>
      </c>
      <c r="R67" s="8" t="str">
        <f t="shared" ref="R67:R130" si="3">IFERROR(Q67-P67,"")</f>
        <v/>
      </c>
    </row>
    <row r="68" spans="1:18" x14ac:dyDescent="0.45">
      <c r="A68" s="3" t="s">
        <v>489</v>
      </c>
      <c r="B68" s="1" t="s">
        <v>68</v>
      </c>
      <c r="C68" s="5">
        <v>0.01</v>
      </c>
      <c r="D68" s="4">
        <v>25995</v>
      </c>
      <c r="E68" s="4">
        <v>25975</v>
      </c>
      <c r="F68" s="4">
        <v>25915</v>
      </c>
      <c r="G68" s="5">
        <v>2.3081361800346219E-3</v>
      </c>
      <c r="H68" s="6"/>
      <c r="I68" s="2" t="str">
        <f t="shared" si="2"/>
        <v>-</v>
      </c>
      <c r="J68" s="1" t="str">
        <f>IF(I68="ERROR",BeepMe(),"")</f>
        <v/>
      </c>
      <c r="M68" s="2" t="str">
        <f t="array" ref="M68">IFERROR(INDEX(I:I,SMALL(IF($I$2:$I$450="ERROR", ROW($I$2:$I$450)),ROW()-1)), "")</f>
        <v/>
      </c>
      <c r="N68" s="2" t="str">
        <f t="array" ref="N68">IFERROR(INDEX(A:A,SMALL(IF($I$2:$I$450="ERROR", ROW($A$2:$A$450)),ROW()-1)), "")</f>
        <v/>
      </c>
      <c r="O68" s="2" t="str">
        <f t="array" ref="O68">IFERROR(INDEX(B:B,SMALL(IF($I$2:$I$450="ERROR", ROW($B$2:$B$450)),ROW()-1)), "")</f>
        <v/>
      </c>
      <c r="P68" s="5" t="str">
        <f t="array" ref="P68">IFERROR(INDEX(C:C,SMALL(IF($I$2:$I$450="ERROR", ROW($C$2:$C$450)),ROW()-1)), "")</f>
        <v/>
      </c>
      <c r="Q68" s="5" t="str">
        <f t="array" ref="Q68">IFERROR(INDEX(G:G,SMALL(IF($I$2:$I$450="ERROR", ROW($G$2:$G$450)),ROW()-1)), "")</f>
        <v/>
      </c>
      <c r="R68" s="8" t="str">
        <f t="shared" si="3"/>
        <v/>
      </c>
    </row>
    <row r="69" spans="1:18" x14ac:dyDescent="0.45">
      <c r="A69" s="3" t="s">
        <v>490</v>
      </c>
      <c r="B69" s="1" t="s">
        <v>69</v>
      </c>
      <c r="C69" s="5">
        <v>0.01</v>
      </c>
      <c r="D69" s="4">
        <v>36050</v>
      </c>
      <c r="E69" s="4">
        <v>36065</v>
      </c>
      <c r="F69" s="4">
        <v>36050</v>
      </c>
      <c r="G69" s="5">
        <v>4.1608876560332873E-4</v>
      </c>
      <c r="H69" s="6"/>
      <c r="I69" s="2" t="str">
        <f t="shared" si="2"/>
        <v>-</v>
      </c>
      <c r="J69" s="1" t="str">
        <f>IF(I69="ERROR",BeepMe(),"")</f>
        <v/>
      </c>
      <c r="M69" s="2" t="str">
        <f t="array" ref="M69">IFERROR(INDEX(I:I,SMALL(IF($I$2:$I$450="ERROR", ROW($I$2:$I$450)),ROW()-1)), "")</f>
        <v/>
      </c>
      <c r="N69" s="2" t="str">
        <f t="array" ref="N69">IFERROR(INDEX(A:A,SMALL(IF($I$2:$I$450="ERROR", ROW($A$2:$A$450)),ROW()-1)), "")</f>
        <v/>
      </c>
      <c r="O69" s="2" t="str">
        <f t="array" ref="O69">IFERROR(INDEX(B:B,SMALL(IF($I$2:$I$450="ERROR", ROW($B$2:$B$450)),ROW()-1)), "")</f>
        <v/>
      </c>
      <c r="P69" s="5" t="str">
        <f t="array" ref="P69">IFERROR(INDEX(C:C,SMALL(IF($I$2:$I$450="ERROR", ROW($C$2:$C$450)),ROW()-1)), "")</f>
        <v/>
      </c>
      <c r="Q69" s="5" t="str">
        <f t="array" ref="Q69">IFERROR(INDEX(G:G,SMALL(IF($I$2:$I$450="ERROR", ROW($G$2:$G$450)),ROW()-1)), "")</f>
        <v/>
      </c>
      <c r="R69" s="8" t="str">
        <f t="shared" si="3"/>
        <v/>
      </c>
    </row>
    <row r="70" spans="1:18" x14ac:dyDescent="0.45">
      <c r="A70" s="3" t="s">
        <v>491</v>
      </c>
      <c r="B70" s="1" t="s">
        <v>70</v>
      </c>
      <c r="C70" s="5">
        <v>0</v>
      </c>
      <c r="D70" s="4">
        <v>110575</v>
      </c>
      <c r="E70" s="4">
        <v>110575</v>
      </c>
      <c r="F70" s="4">
        <v>110465</v>
      </c>
      <c r="G70" s="5">
        <v>9.9479990956364466E-4</v>
      </c>
      <c r="H70" s="6"/>
      <c r="I70" s="2" t="str">
        <f t="shared" si="2"/>
        <v>ERROR</v>
      </c>
      <c r="J70" s="1" t="str">
        <f>IF(I70="ERROR",BeepMe(),"")</f>
        <v/>
      </c>
      <c r="M70" s="2" t="str">
        <f t="array" ref="M70">IFERROR(INDEX(I:I,SMALL(IF($I$2:$I$450="ERROR", ROW($I$2:$I$450)),ROW()-1)), "")</f>
        <v/>
      </c>
      <c r="N70" s="2" t="str">
        <f t="array" ref="N70">IFERROR(INDEX(A:A,SMALL(IF($I$2:$I$450="ERROR", ROW($A$2:$A$450)),ROW()-1)), "")</f>
        <v/>
      </c>
      <c r="O70" s="2" t="str">
        <f t="array" ref="O70">IFERROR(INDEX(B:B,SMALL(IF($I$2:$I$450="ERROR", ROW($B$2:$B$450)),ROW()-1)), "")</f>
        <v/>
      </c>
      <c r="P70" s="5" t="str">
        <f t="array" ref="P70">IFERROR(INDEX(C:C,SMALL(IF($I$2:$I$450="ERROR", ROW($C$2:$C$450)),ROW()-1)), "")</f>
        <v/>
      </c>
      <c r="Q70" s="5" t="str">
        <f t="array" ref="Q70">IFERROR(INDEX(G:G,SMALL(IF($I$2:$I$450="ERROR", ROW($G$2:$G$450)),ROW()-1)), "")</f>
        <v/>
      </c>
      <c r="R70" s="8" t="str">
        <f t="shared" si="3"/>
        <v/>
      </c>
    </row>
    <row r="71" spans="1:18" x14ac:dyDescent="0.45">
      <c r="A71" s="3" t="s">
        <v>492</v>
      </c>
      <c r="B71" s="1" t="s">
        <v>71</v>
      </c>
      <c r="C71" s="5">
        <v>0.01</v>
      </c>
      <c r="D71" s="4">
        <v>7880</v>
      </c>
      <c r="E71" s="4">
        <v>7905</v>
      </c>
      <c r="F71" s="4">
        <v>7900</v>
      </c>
      <c r="G71" s="5">
        <v>6.3451776649746188E-4</v>
      </c>
      <c r="H71" s="6"/>
      <c r="I71" s="2" t="str">
        <f t="shared" si="2"/>
        <v>-</v>
      </c>
      <c r="J71" s="1" t="str">
        <f>IF(I71="ERROR",BeepMe(),"")</f>
        <v/>
      </c>
      <c r="M71" s="2" t="str">
        <f t="array" ref="M71">IFERROR(INDEX(I:I,SMALL(IF($I$2:$I$450="ERROR", ROW($I$2:$I$450)),ROW()-1)), "")</f>
        <v/>
      </c>
      <c r="N71" s="2" t="str">
        <f t="array" ref="N71">IFERROR(INDEX(A:A,SMALL(IF($I$2:$I$450="ERROR", ROW($A$2:$A$450)),ROW()-1)), "")</f>
        <v/>
      </c>
      <c r="O71" s="2" t="str">
        <f t="array" ref="O71">IFERROR(INDEX(B:B,SMALL(IF($I$2:$I$450="ERROR", ROW($B$2:$B$450)),ROW()-1)), "")</f>
        <v/>
      </c>
      <c r="P71" s="5" t="str">
        <f t="array" ref="P71">IFERROR(INDEX(C:C,SMALL(IF($I$2:$I$450="ERROR", ROW($C$2:$C$450)),ROW()-1)), "")</f>
        <v/>
      </c>
      <c r="Q71" s="5" t="str">
        <f t="array" ref="Q71">IFERROR(INDEX(G:G,SMALL(IF($I$2:$I$450="ERROR", ROW($G$2:$G$450)),ROW()-1)), "")</f>
        <v/>
      </c>
      <c r="R71" s="8" t="str">
        <f t="shared" si="3"/>
        <v/>
      </c>
    </row>
    <row r="72" spans="1:18" x14ac:dyDescent="0.45">
      <c r="A72" s="3" t="s">
        <v>493</v>
      </c>
      <c r="B72" s="1" t="s">
        <v>72</v>
      </c>
      <c r="C72" s="5">
        <v>5.0000000000000001E-3</v>
      </c>
      <c r="D72" s="4">
        <v>36585</v>
      </c>
      <c r="E72" s="4">
        <v>36605</v>
      </c>
      <c r="F72" s="4">
        <v>36585</v>
      </c>
      <c r="G72" s="5">
        <v>5.4667213338800051E-4</v>
      </c>
      <c r="H72" s="6"/>
      <c r="I72" s="2" t="str">
        <f t="shared" si="2"/>
        <v>-</v>
      </c>
      <c r="J72" s="1" t="str">
        <f>IF(I72="ERROR",BeepMe(),"")</f>
        <v/>
      </c>
      <c r="M72" s="2" t="str">
        <f t="array" ref="M72">IFERROR(INDEX(I:I,SMALL(IF($I$2:$I$450="ERROR", ROW($I$2:$I$450)),ROW()-1)), "")</f>
        <v/>
      </c>
      <c r="N72" s="2" t="str">
        <f t="array" ref="N72">IFERROR(INDEX(A:A,SMALL(IF($I$2:$I$450="ERROR", ROW($A$2:$A$450)),ROW()-1)), "")</f>
        <v/>
      </c>
      <c r="O72" s="2" t="str">
        <f t="array" ref="O72">IFERROR(INDEX(B:B,SMALL(IF($I$2:$I$450="ERROR", ROW($B$2:$B$450)),ROW()-1)), "")</f>
        <v/>
      </c>
      <c r="P72" s="5" t="str">
        <f t="array" ref="P72">IFERROR(INDEX(C:C,SMALL(IF($I$2:$I$450="ERROR", ROW($C$2:$C$450)),ROW()-1)), "")</f>
        <v/>
      </c>
      <c r="Q72" s="5" t="str">
        <f t="array" ref="Q72">IFERROR(INDEX(G:G,SMALL(IF($I$2:$I$450="ERROR", ROW($G$2:$G$450)),ROW()-1)), "")</f>
        <v/>
      </c>
      <c r="R72" s="8" t="str">
        <f t="shared" si="3"/>
        <v/>
      </c>
    </row>
    <row r="73" spans="1:18" x14ac:dyDescent="0.45">
      <c r="A73" s="3" t="s">
        <v>494</v>
      </c>
      <c r="B73" s="1" t="s">
        <v>73</v>
      </c>
      <c r="C73" s="5">
        <v>0</v>
      </c>
      <c r="D73" s="4">
        <v>63590</v>
      </c>
      <c r="E73" s="4">
        <v>63615</v>
      </c>
      <c r="F73" s="4">
        <v>63590</v>
      </c>
      <c r="G73" s="5">
        <v>3.9314357603396758E-4</v>
      </c>
      <c r="H73" s="6"/>
      <c r="I73" s="2" t="str">
        <f t="shared" si="2"/>
        <v>ERROR</v>
      </c>
      <c r="J73" s="1" t="str">
        <f>IF(I73="ERROR",BeepMe(),"")</f>
        <v/>
      </c>
      <c r="M73" s="2" t="str">
        <f t="array" ref="M73">IFERROR(INDEX(I:I,SMALL(IF($I$2:$I$450="ERROR", ROW($I$2:$I$450)),ROW()-1)), "")</f>
        <v/>
      </c>
      <c r="N73" s="2" t="str">
        <f t="array" ref="N73">IFERROR(INDEX(A:A,SMALL(IF($I$2:$I$450="ERROR", ROW($A$2:$A$450)),ROW()-1)), "")</f>
        <v/>
      </c>
      <c r="O73" s="2" t="str">
        <f t="array" ref="O73">IFERROR(INDEX(B:B,SMALL(IF($I$2:$I$450="ERROR", ROW($B$2:$B$450)),ROW()-1)), "")</f>
        <v/>
      </c>
      <c r="P73" s="5" t="str">
        <f t="array" ref="P73">IFERROR(INDEX(C:C,SMALL(IF($I$2:$I$450="ERROR", ROW($C$2:$C$450)),ROW()-1)), "")</f>
        <v/>
      </c>
      <c r="Q73" s="5" t="str">
        <f t="array" ref="Q73">IFERROR(INDEX(G:G,SMALL(IF($I$2:$I$450="ERROR", ROW($G$2:$G$450)),ROW()-1)), "")</f>
        <v/>
      </c>
      <c r="R73" s="8" t="str">
        <f t="shared" si="3"/>
        <v/>
      </c>
    </row>
    <row r="74" spans="1:18" x14ac:dyDescent="0.45">
      <c r="A74" s="3" t="s">
        <v>495</v>
      </c>
      <c r="B74" s="1" t="s">
        <v>74</v>
      </c>
      <c r="C74" s="5">
        <v>4.0000000000000001E-3</v>
      </c>
      <c r="D74" s="4">
        <v>7550</v>
      </c>
      <c r="E74" s="4">
        <v>7550</v>
      </c>
      <c r="F74" s="4">
        <v>7545</v>
      </c>
      <c r="G74" s="5">
        <v>6.6225165562913907E-4</v>
      </c>
      <c r="H74" s="6"/>
      <c r="I74" s="2" t="str">
        <f t="shared" si="2"/>
        <v>-</v>
      </c>
      <c r="J74" s="1" t="str">
        <f>IF(I74="ERROR",BeepMe(),"")</f>
        <v/>
      </c>
      <c r="M74" s="2" t="str">
        <f t="array" ref="M74">IFERROR(INDEX(I:I,SMALL(IF($I$2:$I$450="ERROR", ROW($I$2:$I$450)),ROW()-1)), "")</f>
        <v/>
      </c>
      <c r="N74" s="2" t="str">
        <f t="array" ref="N74">IFERROR(INDEX(A:A,SMALL(IF($I$2:$I$450="ERROR", ROW($A$2:$A$450)),ROW()-1)), "")</f>
        <v/>
      </c>
      <c r="O74" s="2" t="str">
        <f t="array" ref="O74">IFERROR(INDEX(B:B,SMALL(IF($I$2:$I$450="ERROR", ROW($B$2:$B$450)),ROW()-1)), "")</f>
        <v/>
      </c>
      <c r="P74" s="5" t="str">
        <f t="array" ref="P74">IFERROR(INDEX(C:C,SMALL(IF($I$2:$I$450="ERROR", ROW($C$2:$C$450)),ROW()-1)), "")</f>
        <v/>
      </c>
      <c r="Q74" s="5" t="str">
        <f t="array" ref="Q74">IFERROR(INDEX(G:G,SMALL(IF($I$2:$I$450="ERROR", ROW($G$2:$G$450)),ROW()-1)), "")</f>
        <v/>
      </c>
      <c r="R74" s="8" t="str">
        <f t="shared" si="3"/>
        <v/>
      </c>
    </row>
    <row r="75" spans="1:18" x14ac:dyDescent="0.45">
      <c r="A75" s="3" t="s">
        <v>496</v>
      </c>
      <c r="B75" s="1" t="s">
        <v>75</v>
      </c>
      <c r="C75" s="5">
        <v>5.0000000000000001E-3</v>
      </c>
      <c r="D75" s="4">
        <v>36805</v>
      </c>
      <c r="E75" s="4">
        <v>36805</v>
      </c>
      <c r="F75" s="4">
        <v>36770</v>
      </c>
      <c r="G75" s="5">
        <v>9.5095775030566503E-4</v>
      </c>
      <c r="H75" s="6"/>
      <c r="I75" s="2" t="str">
        <f t="shared" si="2"/>
        <v>-</v>
      </c>
      <c r="J75" s="1" t="str">
        <f>IF(I75="ERROR",BeepMe(),"")</f>
        <v/>
      </c>
      <c r="M75" s="2" t="str">
        <f t="array" ref="M75">IFERROR(INDEX(I:I,SMALL(IF($I$2:$I$450="ERROR", ROW($I$2:$I$450)),ROW()-1)), "")</f>
        <v/>
      </c>
      <c r="N75" s="2" t="str">
        <f t="array" ref="N75">IFERROR(INDEX(A:A,SMALL(IF($I$2:$I$450="ERROR", ROW($A$2:$A$450)),ROW()-1)), "")</f>
        <v/>
      </c>
      <c r="O75" s="2" t="str">
        <f t="array" ref="O75">IFERROR(INDEX(B:B,SMALL(IF($I$2:$I$450="ERROR", ROW($B$2:$B$450)),ROW()-1)), "")</f>
        <v/>
      </c>
      <c r="P75" s="5" t="str">
        <f t="array" ref="P75">IFERROR(INDEX(C:C,SMALL(IF($I$2:$I$450="ERROR", ROW($C$2:$C$450)),ROW()-1)), "")</f>
        <v/>
      </c>
      <c r="Q75" s="5" t="str">
        <f t="array" ref="Q75">IFERROR(INDEX(G:G,SMALL(IF($I$2:$I$450="ERROR", ROW($G$2:$G$450)),ROW()-1)), "")</f>
        <v/>
      </c>
      <c r="R75" s="8" t="str">
        <f t="shared" si="3"/>
        <v/>
      </c>
    </row>
    <row r="76" spans="1:18" x14ac:dyDescent="0.45">
      <c r="A76" s="3" t="s">
        <v>497</v>
      </c>
      <c r="B76" s="1" t="s">
        <v>76</v>
      </c>
      <c r="C76" s="5">
        <v>0</v>
      </c>
      <c r="D76" s="4">
        <v>103275</v>
      </c>
      <c r="E76" s="4">
        <v>103285</v>
      </c>
      <c r="F76" s="4">
        <v>103275</v>
      </c>
      <c r="G76" s="5">
        <v>9.6828854998789638E-5</v>
      </c>
      <c r="H76" s="6"/>
      <c r="I76" s="2" t="str">
        <f t="shared" si="2"/>
        <v>ERROR</v>
      </c>
      <c r="J76" s="1" t="str">
        <f>IF(I76="ERROR",BeepMe(),"")</f>
        <v/>
      </c>
      <c r="M76" s="2" t="str">
        <f t="array" ref="M76">IFERROR(INDEX(I:I,SMALL(IF($I$2:$I$450="ERROR", ROW($I$2:$I$450)),ROW()-1)), "")</f>
        <v/>
      </c>
      <c r="N76" s="2" t="str">
        <f t="array" ref="N76">IFERROR(INDEX(A:A,SMALL(IF($I$2:$I$450="ERROR", ROW($A$2:$A$450)),ROW()-1)), "")</f>
        <v/>
      </c>
      <c r="O76" s="2" t="str">
        <f t="array" ref="O76">IFERROR(INDEX(B:B,SMALL(IF($I$2:$I$450="ERROR", ROW($B$2:$B$450)),ROW()-1)), "")</f>
        <v/>
      </c>
      <c r="P76" s="5" t="str">
        <f t="array" ref="P76">IFERROR(INDEX(C:C,SMALL(IF($I$2:$I$450="ERROR", ROW($C$2:$C$450)),ROW()-1)), "")</f>
        <v/>
      </c>
      <c r="Q76" s="5" t="str">
        <f t="array" ref="Q76">IFERROR(INDEX(G:G,SMALL(IF($I$2:$I$450="ERROR", ROW($G$2:$G$450)),ROW()-1)), "")</f>
        <v/>
      </c>
      <c r="R76" s="8" t="str">
        <f t="shared" si="3"/>
        <v/>
      </c>
    </row>
    <row r="77" spans="1:18" x14ac:dyDescent="0.45">
      <c r="A77" s="3" t="s">
        <v>498</v>
      </c>
      <c r="B77" s="1" t="s">
        <v>77</v>
      </c>
      <c r="C77" s="5">
        <v>0</v>
      </c>
      <c r="D77" s="4">
        <v>16680</v>
      </c>
      <c r="E77" s="4">
        <v>16680</v>
      </c>
      <c r="F77" s="4">
        <v>16660</v>
      </c>
      <c r="G77" s="5">
        <v>1.199040767386091E-3</v>
      </c>
      <c r="H77" s="6"/>
      <c r="I77" s="2" t="str">
        <f t="shared" si="2"/>
        <v>ERROR</v>
      </c>
      <c r="J77" s="1" t="str">
        <f>IF(I77="ERROR",BeepMe(),"")</f>
        <v/>
      </c>
      <c r="M77" s="2" t="str">
        <f t="array" ref="M77">IFERROR(INDEX(I:I,SMALL(IF($I$2:$I$450="ERROR", ROW($I$2:$I$450)),ROW()-1)), "")</f>
        <v/>
      </c>
      <c r="N77" s="2" t="str">
        <f t="array" ref="N77">IFERROR(INDEX(A:A,SMALL(IF($I$2:$I$450="ERROR", ROW($A$2:$A$450)),ROW()-1)), "")</f>
        <v/>
      </c>
      <c r="O77" s="2" t="str">
        <f t="array" ref="O77">IFERROR(INDEX(B:B,SMALL(IF($I$2:$I$450="ERROR", ROW($B$2:$B$450)),ROW()-1)), "")</f>
        <v/>
      </c>
      <c r="P77" s="5" t="str">
        <f t="array" ref="P77">IFERROR(INDEX(C:C,SMALL(IF($I$2:$I$450="ERROR", ROW($C$2:$C$450)),ROW()-1)), "")</f>
        <v/>
      </c>
      <c r="Q77" s="5" t="str">
        <f t="array" ref="Q77">IFERROR(INDEX(G:G,SMALL(IF($I$2:$I$450="ERROR", ROW($G$2:$G$450)),ROW()-1)), "")</f>
        <v/>
      </c>
      <c r="R77" s="8" t="str">
        <f t="shared" si="3"/>
        <v/>
      </c>
    </row>
    <row r="78" spans="1:18" x14ac:dyDescent="0.45">
      <c r="A78" s="3" t="s">
        <v>499</v>
      </c>
      <c r="B78" s="1" t="s">
        <v>78</v>
      </c>
      <c r="C78" s="5">
        <v>5.0000000000000001E-3</v>
      </c>
      <c r="D78" s="4">
        <v>100725</v>
      </c>
      <c r="E78" s="4">
        <v>100730</v>
      </c>
      <c r="F78" s="4">
        <v>100725</v>
      </c>
      <c r="G78" s="5">
        <v>4.9640109208240255E-5</v>
      </c>
      <c r="H78" s="6"/>
      <c r="I78" s="2" t="str">
        <f t="shared" si="2"/>
        <v>-</v>
      </c>
      <c r="J78" s="1" t="str">
        <f>IF(I78="ERROR",BeepMe(),"")</f>
        <v/>
      </c>
      <c r="M78" s="2" t="str">
        <f t="array" ref="M78">IFERROR(INDEX(I:I,SMALL(IF($I$2:$I$450="ERROR", ROW($I$2:$I$450)),ROW()-1)), "")</f>
        <v/>
      </c>
      <c r="N78" s="2" t="str">
        <f t="array" ref="N78">IFERROR(INDEX(A:A,SMALL(IF($I$2:$I$450="ERROR", ROW($A$2:$A$450)),ROW()-1)), "")</f>
        <v/>
      </c>
      <c r="O78" s="2" t="str">
        <f t="array" ref="O78">IFERROR(INDEX(B:B,SMALL(IF($I$2:$I$450="ERROR", ROW($B$2:$B$450)),ROW()-1)), "")</f>
        <v/>
      </c>
      <c r="P78" s="5" t="str">
        <f t="array" ref="P78">IFERROR(INDEX(C:C,SMALL(IF($I$2:$I$450="ERROR", ROW($C$2:$C$450)),ROW()-1)), "")</f>
        <v/>
      </c>
      <c r="Q78" s="5" t="str">
        <f t="array" ref="Q78">IFERROR(INDEX(G:G,SMALL(IF($I$2:$I$450="ERROR", ROW($G$2:$G$450)),ROW()-1)), "")</f>
        <v/>
      </c>
      <c r="R78" s="8" t="str">
        <f t="shared" si="3"/>
        <v/>
      </c>
    </row>
    <row r="79" spans="1:18" x14ac:dyDescent="0.45">
      <c r="A79" s="3" t="s">
        <v>500</v>
      </c>
      <c r="B79" s="1" t="s">
        <v>79</v>
      </c>
      <c r="C79" s="5">
        <v>0.01</v>
      </c>
      <c r="D79" s="4">
        <v>13365</v>
      </c>
      <c r="E79" s="4">
        <v>13365</v>
      </c>
      <c r="F79" s="4">
        <v>13355</v>
      </c>
      <c r="G79" s="5">
        <v>7.4822297044519262E-4</v>
      </c>
      <c r="H79" s="6"/>
      <c r="I79" s="2" t="str">
        <f t="shared" si="2"/>
        <v>-</v>
      </c>
      <c r="J79" s="1" t="str">
        <f>IF(I79="ERROR",BeepMe(),"")</f>
        <v/>
      </c>
      <c r="M79" s="2" t="str">
        <f t="array" ref="M79">IFERROR(INDEX(I:I,SMALL(IF($I$2:$I$450="ERROR", ROW($I$2:$I$450)),ROW()-1)), "")</f>
        <v/>
      </c>
      <c r="N79" s="2" t="str">
        <f t="array" ref="N79">IFERROR(INDEX(A:A,SMALL(IF($I$2:$I$450="ERROR", ROW($A$2:$A$450)),ROW()-1)), "")</f>
        <v/>
      </c>
      <c r="O79" s="2" t="str">
        <f t="array" ref="O79">IFERROR(INDEX(B:B,SMALL(IF($I$2:$I$450="ERROR", ROW($B$2:$B$450)),ROW()-1)), "")</f>
        <v/>
      </c>
      <c r="P79" s="5" t="str">
        <f t="array" ref="P79">IFERROR(INDEX(C:C,SMALL(IF($I$2:$I$450="ERROR", ROW($C$2:$C$450)),ROW()-1)), "")</f>
        <v/>
      </c>
      <c r="Q79" s="5" t="str">
        <f t="array" ref="Q79">IFERROR(INDEX(G:G,SMALL(IF($I$2:$I$450="ERROR", ROW($G$2:$G$450)),ROW()-1)), "")</f>
        <v/>
      </c>
      <c r="R79" s="8" t="str">
        <f t="shared" si="3"/>
        <v/>
      </c>
    </row>
    <row r="80" spans="1:18" x14ac:dyDescent="0.45">
      <c r="A80" s="3" t="s">
        <v>501</v>
      </c>
      <c r="B80" s="1" t="s">
        <v>80</v>
      </c>
      <c r="C80" s="5">
        <v>0.01</v>
      </c>
      <c r="D80" s="4">
        <v>4660</v>
      </c>
      <c r="E80" s="4">
        <v>4670</v>
      </c>
      <c r="F80" s="4">
        <v>4660</v>
      </c>
      <c r="G80" s="5">
        <v>2.1459227467811159E-3</v>
      </c>
      <c r="H80" s="6"/>
      <c r="I80" s="2" t="str">
        <f t="shared" si="2"/>
        <v>-</v>
      </c>
      <c r="J80" s="1" t="str">
        <f>IF(I80="ERROR",BeepMe(),"")</f>
        <v/>
      </c>
      <c r="M80" s="2" t="str">
        <f t="array" ref="M80">IFERROR(INDEX(I:I,SMALL(IF($I$2:$I$450="ERROR", ROW($I$2:$I$450)),ROW()-1)), "")</f>
        <v/>
      </c>
      <c r="N80" s="2" t="str">
        <f t="array" ref="N80">IFERROR(INDEX(A:A,SMALL(IF($I$2:$I$450="ERROR", ROW($A$2:$A$450)),ROW()-1)), "")</f>
        <v/>
      </c>
      <c r="O80" s="2" t="str">
        <f t="array" ref="O80">IFERROR(INDEX(B:B,SMALL(IF($I$2:$I$450="ERROR", ROW($B$2:$B$450)),ROW()-1)), "")</f>
        <v/>
      </c>
      <c r="P80" s="5" t="str">
        <f t="array" ref="P80">IFERROR(INDEX(C:C,SMALL(IF($I$2:$I$450="ERROR", ROW($C$2:$C$450)),ROW()-1)), "")</f>
        <v/>
      </c>
      <c r="Q80" s="5" t="str">
        <f t="array" ref="Q80">IFERROR(INDEX(G:G,SMALL(IF($I$2:$I$450="ERROR", ROW($G$2:$G$450)),ROW()-1)), "")</f>
        <v/>
      </c>
      <c r="R80" s="8" t="str">
        <f t="shared" si="3"/>
        <v/>
      </c>
    </row>
    <row r="81" spans="1:18" x14ac:dyDescent="0.45">
      <c r="A81" s="3" t="s">
        <v>502</v>
      </c>
      <c r="B81" s="1" t="s">
        <v>81</v>
      </c>
      <c r="C81" s="5">
        <v>0.01</v>
      </c>
      <c r="D81" s="4">
        <v>27415</v>
      </c>
      <c r="E81" s="4">
        <v>27415</v>
      </c>
      <c r="F81" s="4">
        <v>27310</v>
      </c>
      <c r="G81" s="5">
        <v>3.8300200620098486E-3</v>
      </c>
      <c r="H81" s="6"/>
      <c r="I81" s="2" t="str">
        <f t="shared" si="2"/>
        <v>-</v>
      </c>
      <c r="J81" s="1" t="str">
        <f>IF(I81="ERROR",BeepMe(),"")</f>
        <v/>
      </c>
      <c r="M81" s="2" t="str">
        <f t="array" ref="M81">IFERROR(INDEX(I:I,SMALL(IF($I$2:$I$450="ERROR", ROW($I$2:$I$450)),ROW()-1)), "")</f>
        <v/>
      </c>
      <c r="N81" s="2" t="str">
        <f t="array" ref="N81">IFERROR(INDEX(A:A,SMALL(IF($I$2:$I$450="ERROR", ROW($A$2:$A$450)),ROW()-1)), "")</f>
        <v/>
      </c>
      <c r="O81" s="2" t="str">
        <f t="array" ref="O81">IFERROR(INDEX(B:B,SMALL(IF($I$2:$I$450="ERROR", ROW($B$2:$B$450)),ROW()-1)), "")</f>
        <v/>
      </c>
      <c r="P81" s="5" t="str">
        <f t="array" ref="P81">IFERROR(INDEX(C:C,SMALL(IF($I$2:$I$450="ERROR", ROW($C$2:$C$450)),ROW()-1)), "")</f>
        <v/>
      </c>
      <c r="Q81" s="5" t="str">
        <f t="array" ref="Q81">IFERROR(INDEX(G:G,SMALL(IF($I$2:$I$450="ERROR", ROW($G$2:$G$450)),ROW()-1)), "")</f>
        <v/>
      </c>
      <c r="R81" s="8" t="str">
        <f t="shared" si="3"/>
        <v/>
      </c>
    </row>
    <row r="82" spans="1:18" x14ac:dyDescent="0.45">
      <c r="A82" s="3" t="s">
        <v>503</v>
      </c>
      <c r="B82" s="1" t="s">
        <v>82</v>
      </c>
      <c r="C82" s="5">
        <v>5.0000000000000001E-3</v>
      </c>
      <c r="D82" s="4">
        <v>13235</v>
      </c>
      <c r="E82" s="4">
        <v>13235</v>
      </c>
      <c r="F82" s="4">
        <v>13230</v>
      </c>
      <c r="G82" s="5">
        <v>3.7778617302606723E-4</v>
      </c>
      <c r="H82" s="6"/>
      <c r="I82" s="2" t="str">
        <f t="shared" si="2"/>
        <v>-</v>
      </c>
      <c r="J82" s="1" t="str">
        <f>IF(I82="ERROR",BeepMe(),"")</f>
        <v/>
      </c>
      <c r="M82" s="2" t="str">
        <f t="array" ref="M82">IFERROR(INDEX(I:I,SMALL(IF($I$2:$I$450="ERROR", ROW($I$2:$I$450)),ROW()-1)), "")</f>
        <v/>
      </c>
      <c r="N82" s="2" t="str">
        <f t="array" ref="N82">IFERROR(INDEX(A:A,SMALL(IF($I$2:$I$450="ERROR", ROW($A$2:$A$450)),ROW()-1)), "")</f>
        <v/>
      </c>
      <c r="O82" s="2" t="str">
        <f t="array" ref="O82">IFERROR(INDEX(B:B,SMALL(IF($I$2:$I$450="ERROR", ROW($B$2:$B$450)),ROW()-1)), "")</f>
        <v/>
      </c>
      <c r="P82" s="5" t="str">
        <f t="array" ref="P82">IFERROR(INDEX(C:C,SMALL(IF($I$2:$I$450="ERROR", ROW($C$2:$C$450)),ROW()-1)), "")</f>
        <v/>
      </c>
      <c r="Q82" s="5" t="str">
        <f t="array" ref="Q82">IFERROR(INDEX(G:G,SMALL(IF($I$2:$I$450="ERROR", ROW($G$2:$G$450)),ROW()-1)), "")</f>
        <v/>
      </c>
      <c r="R82" s="8" t="str">
        <f t="shared" si="3"/>
        <v/>
      </c>
    </row>
    <row r="83" spans="1:18" x14ac:dyDescent="0.45">
      <c r="A83" s="3" t="s">
        <v>504</v>
      </c>
      <c r="B83" s="1" t="s">
        <v>83</v>
      </c>
      <c r="C83" s="5">
        <v>0</v>
      </c>
      <c r="D83" s="4">
        <v>13595</v>
      </c>
      <c r="E83" s="4">
        <v>13605</v>
      </c>
      <c r="F83" s="4">
        <v>13575</v>
      </c>
      <c r="G83" s="5">
        <v>2.206693637366679E-3</v>
      </c>
      <c r="H83" s="6"/>
      <c r="I83" s="2" t="str">
        <f t="shared" si="2"/>
        <v>ERROR</v>
      </c>
      <c r="J83" s="1" t="str">
        <f>IF(I83="ERROR",BeepMe(),"")</f>
        <v/>
      </c>
      <c r="M83" s="2" t="str">
        <f t="array" ref="M83">IFERROR(INDEX(I:I,SMALL(IF($I$2:$I$450="ERROR", ROW($I$2:$I$450)),ROW()-1)), "")</f>
        <v/>
      </c>
      <c r="N83" s="2" t="str">
        <f t="array" ref="N83">IFERROR(INDEX(A:A,SMALL(IF($I$2:$I$450="ERROR", ROW($A$2:$A$450)),ROW()-1)), "")</f>
        <v/>
      </c>
      <c r="O83" s="2" t="str">
        <f t="array" ref="O83">IFERROR(INDEX(B:B,SMALL(IF($I$2:$I$450="ERROR", ROW($B$2:$B$450)),ROW()-1)), "")</f>
        <v/>
      </c>
      <c r="P83" s="5" t="str">
        <f t="array" ref="P83">IFERROR(INDEX(C:C,SMALL(IF($I$2:$I$450="ERROR", ROW($C$2:$C$450)),ROW()-1)), "")</f>
        <v/>
      </c>
      <c r="Q83" s="5" t="str">
        <f t="array" ref="Q83">IFERROR(INDEX(G:G,SMALL(IF($I$2:$I$450="ERROR", ROW($G$2:$G$450)),ROW()-1)), "")</f>
        <v/>
      </c>
      <c r="R83" s="8" t="str">
        <f t="shared" si="3"/>
        <v/>
      </c>
    </row>
    <row r="84" spans="1:18" x14ac:dyDescent="0.45">
      <c r="A84" s="3" t="s">
        <v>505</v>
      </c>
      <c r="B84" s="1" t="s">
        <v>84</v>
      </c>
      <c r="C84" s="5">
        <v>0</v>
      </c>
      <c r="D84" s="4">
        <v>107330</v>
      </c>
      <c r="E84" s="4">
        <v>107655</v>
      </c>
      <c r="F84" s="4">
        <v>107575</v>
      </c>
      <c r="G84" s="5">
        <v>7.4536476288083477E-4</v>
      </c>
      <c r="H84" s="6"/>
      <c r="I84" s="2" t="str">
        <f t="shared" si="2"/>
        <v>ERROR</v>
      </c>
      <c r="J84" s="1" t="str">
        <f>IF(I84="ERROR",BeepMe(),"")</f>
        <v/>
      </c>
      <c r="M84" s="2" t="str">
        <f t="array" ref="M84">IFERROR(INDEX(I:I,SMALL(IF($I$2:$I$450="ERROR", ROW($I$2:$I$450)),ROW()-1)), "")</f>
        <v/>
      </c>
      <c r="N84" s="2" t="str">
        <f t="array" ref="N84">IFERROR(INDEX(A:A,SMALL(IF($I$2:$I$450="ERROR", ROW($A$2:$A$450)),ROW()-1)), "")</f>
        <v/>
      </c>
      <c r="O84" s="2" t="str">
        <f t="array" ref="O84">IFERROR(INDEX(B:B,SMALL(IF($I$2:$I$450="ERROR", ROW($B$2:$B$450)),ROW()-1)), "")</f>
        <v/>
      </c>
      <c r="P84" s="5" t="str">
        <f t="array" ref="P84">IFERROR(INDEX(C:C,SMALL(IF($I$2:$I$450="ERROR", ROW($C$2:$C$450)),ROW()-1)), "")</f>
        <v/>
      </c>
      <c r="Q84" s="5" t="str">
        <f t="array" ref="Q84">IFERROR(INDEX(G:G,SMALL(IF($I$2:$I$450="ERROR", ROW($G$2:$G$450)),ROW()-1)), "")</f>
        <v/>
      </c>
      <c r="R84" s="8" t="str">
        <f t="shared" si="3"/>
        <v/>
      </c>
    </row>
    <row r="85" spans="1:18" x14ac:dyDescent="0.45">
      <c r="A85" s="3" t="s">
        <v>506</v>
      </c>
      <c r="B85" s="1" t="s">
        <v>85</v>
      </c>
      <c r="C85" s="5">
        <v>5.0000000000000001E-3</v>
      </c>
      <c r="D85" s="4">
        <v>24990</v>
      </c>
      <c r="E85" s="4">
        <v>25000</v>
      </c>
      <c r="F85" s="4">
        <v>24910</v>
      </c>
      <c r="G85" s="5">
        <v>3.6014405762304922E-3</v>
      </c>
      <c r="H85" s="6"/>
      <c r="I85" s="2" t="str">
        <f t="shared" si="2"/>
        <v>-</v>
      </c>
      <c r="J85" s="1" t="str">
        <f>IF(I85="ERROR",BeepMe(),"")</f>
        <v/>
      </c>
      <c r="M85" s="2" t="str">
        <f t="array" ref="M85">IFERROR(INDEX(I:I,SMALL(IF($I$2:$I$450="ERROR", ROW($I$2:$I$450)),ROW()-1)), "")</f>
        <v/>
      </c>
      <c r="N85" s="2" t="str">
        <f t="array" ref="N85">IFERROR(INDEX(A:A,SMALL(IF($I$2:$I$450="ERROR", ROW($A$2:$A$450)),ROW()-1)), "")</f>
        <v/>
      </c>
      <c r="O85" s="2" t="str">
        <f t="array" ref="O85">IFERROR(INDEX(B:B,SMALL(IF($I$2:$I$450="ERROR", ROW($B$2:$B$450)),ROW()-1)), "")</f>
        <v/>
      </c>
      <c r="P85" s="5" t="str">
        <f t="array" ref="P85">IFERROR(INDEX(C:C,SMALL(IF($I$2:$I$450="ERROR", ROW($C$2:$C$450)),ROW()-1)), "")</f>
        <v/>
      </c>
      <c r="Q85" s="5" t="str">
        <f t="array" ref="Q85">IFERROR(INDEX(G:G,SMALL(IF($I$2:$I$450="ERROR", ROW($G$2:$G$450)),ROW()-1)), "")</f>
        <v/>
      </c>
      <c r="R85" s="8" t="str">
        <f t="shared" si="3"/>
        <v/>
      </c>
    </row>
    <row r="86" spans="1:18" x14ac:dyDescent="0.45">
      <c r="A86" s="3" t="s">
        <v>507</v>
      </c>
      <c r="B86" s="1" t="s">
        <v>86</v>
      </c>
      <c r="C86" s="5">
        <v>0.02</v>
      </c>
      <c r="D86" s="4">
        <v>28290</v>
      </c>
      <c r="E86" s="4">
        <v>28510</v>
      </c>
      <c r="F86" s="4">
        <v>28290</v>
      </c>
      <c r="G86" s="5">
        <v>7.7765995051254861E-3</v>
      </c>
      <c r="H86" s="6"/>
      <c r="I86" s="2" t="str">
        <f t="shared" si="2"/>
        <v>-</v>
      </c>
      <c r="J86" s="1" t="str">
        <f>IF(I86="ERROR",BeepMe(),"")</f>
        <v/>
      </c>
      <c r="M86" s="2" t="str">
        <f t="array" ref="M86">IFERROR(INDEX(I:I,SMALL(IF($I$2:$I$450="ERROR", ROW($I$2:$I$450)),ROW()-1)), "")</f>
        <v/>
      </c>
      <c r="N86" s="2" t="str">
        <f t="array" ref="N86">IFERROR(INDEX(A:A,SMALL(IF($I$2:$I$450="ERROR", ROW($A$2:$A$450)),ROW()-1)), "")</f>
        <v/>
      </c>
      <c r="O86" s="2" t="str">
        <f t="array" ref="O86">IFERROR(INDEX(B:B,SMALL(IF($I$2:$I$450="ERROR", ROW($B$2:$B$450)),ROW()-1)), "")</f>
        <v/>
      </c>
      <c r="P86" s="5" t="str">
        <f t="array" ref="P86">IFERROR(INDEX(C:C,SMALL(IF($I$2:$I$450="ERROR", ROW($C$2:$C$450)),ROW()-1)), "")</f>
        <v/>
      </c>
      <c r="Q86" s="5" t="str">
        <f t="array" ref="Q86">IFERROR(INDEX(G:G,SMALL(IF($I$2:$I$450="ERROR", ROW($G$2:$G$450)),ROW()-1)), "")</f>
        <v/>
      </c>
      <c r="R86" s="8" t="str">
        <f t="shared" si="3"/>
        <v/>
      </c>
    </row>
    <row r="87" spans="1:18" x14ac:dyDescent="0.45">
      <c r="A87" s="3" t="s">
        <v>508</v>
      </c>
      <c r="B87" s="1" t="s">
        <v>87</v>
      </c>
      <c r="C87" s="5">
        <v>2.5000000000000001E-2</v>
      </c>
      <c r="D87" s="4">
        <v>20770</v>
      </c>
      <c r="E87" s="4">
        <v>20820</v>
      </c>
      <c r="F87" s="4">
        <v>20770</v>
      </c>
      <c r="G87" s="5">
        <v>2.4073182474723159E-3</v>
      </c>
      <c r="H87" s="6"/>
      <c r="I87" s="2" t="str">
        <f t="shared" si="2"/>
        <v>-</v>
      </c>
      <c r="J87" s="1" t="str">
        <f>IF(I87="ERROR",BeepMe(),"")</f>
        <v/>
      </c>
      <c r="M87" s="2" t="str">
        <f t="array" ref="M87">IFERROR(INDEX(I:I,SMALL(IF($I$2:$I$450="ERROR", ROW($I$2:$I$450)),ROW()-1)), "")</f>
        <v/>
      </c>
      <c r="N87" s="2" t="str">
        <f t="array" ref="N87">IFERROR(INDEX(A:A,SMALL(IF($I$2:$I$450="ERROR", ROW($A$2:$A$450)),ROW()-1)), "")</f>
        <v/>
      </c>
      <c r="O87" s="2" t="str">
        <f t="array" ref="O87">IFERROR(INDEX(B:B,SMALL(IF($I$2:$I$450="ERROR", ROW($B$2:$B$450)),ROW()-1)), "")</f>
        <v/>
      </c>
      <c r="P87" s="5" t="str">
        <f t="array" ref="P87">IFERROR(INDEX(C:C,SMALL(IF($I$2:$I$450="ERROR", ROW($C$2:$C$450)),ROW()-1)), "")</f>
        <v/>
      </c>
      <c r="Q87" s="5" t="str">
        <f t="array" ref="Q87">IFERROR(INDEX(G:G,SMALL(IF($I$2:$I$450="ERROR", ROW($G$2:$G$450)),ROW()-1)), "")</f>
        <v/>
      </c>
      <c r="R87" s="8" t="str">
        <f t="shared" si="3"/>
        <v/>
      </c>
    </row>
    <row r="88" spans="1:18" x14ac:dyDescent="0.45">
      <c r="A88" s="3" t="s">
        <v>509</v>
      </c>
      <c r="B88" s="1" t="s">
        <v>88</v>
      </c>
      <c r="C88" s="5">
        <v>9.0000000000000011E-3</v>
      </c>
      <c r="D88" s="4">
        <v>12650</v>
      </c>
      <c r="E88" s="4">
        <v>12650</v>
      </c>
      <c r="F88" s="4">
        <v>12620</v>
      </c>
      <c r="G88" s="5">
        <v>2.3715415019762848E-3</v>
      </c>
      <c r="H88" s="6"/>
      <c r="I88" s="2" t="str">
        <f t="shared" si="2"/>
        <v>-</v>
      </c>
      <c r="J88" s="1" t="str">
        <f>IF(I88="ERROR",BeepMe(),"")</f>
        <v/>
      </c>
      <c r="M88" s="2" t="str">
        <f t="array" ref="M88">IFERROR(INDEX(I:I,SMALL(IF($I$2:$I$450="ERROR", ROW($I$2:$I$450)),ROW()-1)), "")</f>
        <v/>
      </c>
      <c r="N88" s="2" t="str">
        <f t="array" ref="N88">IFERROR(INDEX(A:A,SMALL(IF($I$2:$I$450="ERROR", ROW($A$2:$A$450)),ROW()-1)), "")</f>
        <v/>
      </c>
      <c r="O88" s="2" t="str">
        <f t="array" ref="O88">IFERROR(INDEX(B:B,SMALL(IF($I$2:$I$450="ERROR", ROW($B$2:$B$450)),ROW()-1)), "")</f>
        <v/>
      </c>
      <c r="P88" s="5" t="str">
        <f t="array" ref="P88">IFERROR(INDEX(C:C,SMALL(IF($I$2:$I$450="ERROR", ROW($C$2:$C$450)),ROW()-1)), "")</f>
        <v/>
      </c>
      <c r="Q88" s="5" t="str">
        <f t="array" ref="Q88">IFERROR(INDEX(G:G,SMALL(IF($I$2:$I$450="ERROR", ROW($G$2:$G$450)),ROW()-1)), "")</f>
        <v/>
      </c>
      <c r="R88" s="8" t="str">
        <f t="shared" si="3"/>
        <v/>
      </c>
    </row>
    <row r="89" spans="1:18" x14ac:dyDescent="0.45">
      <c r="A89" s="3" t="s">
        <v>510</v>
      </c>
      <c r="B89" s="1" t="s">
        <v>89</v>
      </c>
      <c r="C89" s="5">
        <v>0.03</v>
      </c>
      <c r="D89" s="4">
        <v>19635</v>
      </c>
      <c r="E89" s="4">
        <v>19635</v>
      </c>
      <c r="F89" s="4">
        <v>19550</v>
      </c>
      <c r="G89" s="5">
        <v>4.329004329004329E-3</v>
      </c>
      <c r="H89" s="6"/>
      <c r="I89" s="2" t="str">
        <f t="shared" si="2"/>
        <v>-</v>
      </c>
      <c r="J89" s="1" t="str">
        <f>IF(I89="ERROR",BeepMe(),"")</f>
        <v/>
      </c>
      <c r="M89" s="2" t="str">
        <f t="array" ref="M89">IFERROR(INDEX(I:I,SMALL(IF($I$2:$I$450="ERROR", ROW($I$2:$I$450)),ROW()-1)), "")</f>
        <v/>
      </c>
      <c r="N89" s="2" t="str">
        <f t="array" ref="N89">IFERROR(INDEX(A:A,SMALL(IF($I$2:$I$450="ERROR", ROW($A$2:$A$450)),ROW()-1)), "")</f>
        <v/>
      </c>
      <c r="O89" s="2" t="str">
        <f t="array" ref="O89">IFERROR(INDEX(B:B,SMALL(IF($I$2:$I$450="ERROR", ROW($B$2:$B$450)),ROW()-1)), "")</f>
        <v/>
      </c>
      <c r="P89" s="5" t="str">
        <f t="array" ref="P89">IFERROR(INDEX(C:C,SMALL(IF($I$2:$I$450="ERROR", ROW($C$2:$C$450)),ROW()-1)), "")</f>
        <v/>
      </c>
      <c r="Q89" s="5" t="str">
        <f t="array" ref="Q89">IFERROR(INDEX(G:G,SMALL(IF($I$2:$I$450="ERROR", ROW($G$2:$G$450)),ROW()-1)), "")</f>
        <v/>
      </c>
      <c r="R89" s="8" t="str">
        <f t="shared" si="3"/>
        <v/>
      </c>
    </row>
    <row r="90" spans="1:18" x14ac:dyDescent="0.45">
      <c r="A90" s="3" t="s">
        <v>511</v>
      </c>
      <c r="B90" s="1" t="s">
        <v>90</v>
      </c>
      <c r="C90" s="5">
        <v>2E-3</v>
      </c>
      <c r="D90" s="4">
        <v>51765</v>
      </c>
      <c r="E90" s="4">
        <v>51725</v>
      </c>
      <c r="F90" s="4">
        <v>51695</v>
      </c>
      <c r="G90" s="5">
        <v>5.7954216169226315E-4</v>
      </c>
      <c r="H90" s="6"/>
      <c r="I90" s="2" t="str">
        <f t="shared" si="2"/>
        <v>-</v>
      </c>
      <c r="J90" s="1" t="str">
        <f>IF(I90="ERROR",BeepMe(),"")</f>
        <v/>
      </c>
      <c r="M90" s="2" t="str">
        <f t="array" ref="M90">IFERROR(INDEX(I:I,SMALL(IF($I$2:$I$450="ERROR", ROW($I$2:$I$450)),ROW()-1)), "")</f>
        <v/>
      </c>
      <c r="N90" s="2" t="str">
        <f t="array" ref="N90">IFERROR(INDEX(A:A,SMALL(IF($I$2:$I$450="ERROR", ROW($A$2:$A$450)),ROW()-1)), "")</f>
        <v/>
      </c>
      <c r="O90" s="2" t="str">
        <f t="array" ref="O90">IFERROR(INDEX(B:B,SMALL(IF($I$2:$I$450="ERROR", ROW($B$2:$B$450)),ROW()-1)), "")</f>
        <v/>
      </c>
      <c r="P90" s="5" t="str">
        <f t="array" ref="P90">IFERROR(INDEX(C:C,SMALL(IF($I$2:$I$450="ERROR", ROW($C$2:$C$450)),ROW()-1)), "")</f>
        <v/>
      </c>
      <c r="Q90" s="5" t="str">
        <f t="array" ref="Q90">IFERROR(INDEX(G:G,SMALL(IF($I$2:$I$450="ERROR", ROW($G$2:$G$450)),ROW()-1)), "")</f>
        <v/>
      </c>
      <c r="R90" s="8" t="str">
        <f t="shared" si="3"/>
        <v/>
      </c>
    </row>
    <row r="91" spans="1:18" x14ac:dyDescent="0.45">
      <c r="A91" s="3" t="s">
        <v>512</v>
      </c>
      <c r="B91" s="1" t="s">
        <v>91</v>
      </c>
      <c r="C91" s="5">
        <v>0.01</v>
      </c>
      <c r="D91" s="4">
        <v>99495</v>
      </c>
      <c r="E91" s="4">
        <v>100090</v>
      </c>
      <c r="F91" s="4">
        <v>99495</v>
      </c>
      <c r="G91" s="5">
        <v>5.980200010050756E-3</v>
      </c>
      <c r="H91" s="6"/>
      <c r="I91" s="2" t="str">
        <f t="shared" si="2"/>
        <v>-</v>
      </c>
      <c r="J91" s="1" t="str">
        <f>IF(I91="ERROR",BeepMe(),"")</f>
        <v/>
      </c>
      <c r="M91" s="2" t="str">
        <f t="array" ref="M91">IFERROR(INDEX(I:I,SMALL(IF($I$2:$I$450="ERROR", ROW($I$2:$I$450)),ROW()-1)), "")</f>
        <v/>
      </c>
      <c r="N91" s="2" t="str">
        <f t="array" ref="N91">IFERROR(INDEX(A:A,SMALL(IF($I$2:$I$450="ERROR", ROW($A$2:$A$450)),ROW()-1)), "")</f>
        <v/>
      </c>
      <c r="O91" s="2" t="str">
        <f t="array" ref="O91">IFERROR(INDEX(B:B,SMALL(IF($I$2:$I$450="ERROR", ROW($B$2:$B$450)),ROW()-1)), "")</f>
        <v/>
      </c>
      <c r="P91" s="5" t="str">
        <f t="array" ref="P91">IFERROR(INDEX(C:C,SMALL(IF($I$2:$I$450="ERROR", ROW($C$2:$C$450)),ROW()-1)), "")</f>
        <v/>
      </c>
      <c r="Q91" s="5" t="str">
        <f t="array" ref="Q91">IFERROR(INDEX(G:G,SMALL(IF($I$2:$I$450="ERROR", ROW($G$2:$G$450)),ROW()-1)), "")</f>
        <v/>
      </c>
      <c r="R91" s="8" t="str">
        <f t="shared" si="3"/>
        <v/>
      </c>
    </row>
    <row r="92" spans="1:18" x14ac:dyDescent="0.45">
      <c r="A92" s="3" t="s">
        <v>513</v>
      </c>
      <c r="B92" s="1" t="s">
        <v>92</v>
      </c>
      <c r="C92" s="5">
        <v>0.01</v>
      </c>
      <c r="D92" s="4">
        <v>16060</v>
      </c>
      <c r="E92" s="4">
        <v>16060</v>
      </c>
      <c r="F92" s="4">
        <v>16055</v>
      </c>
      <c r="G92" s="5">
        <v>3.1133250311332503E-4</v>
      </c>
      <c r="H92" s="6"/>
      <c r="I92" s="2" t="str">
        <f t="shared" si="2"/>
        <v>-</v>
      </c>
      <c r="J92" s="1" t="str">
        <f>IF(I92="ERROR",BeepMe(),"")</f>
        <v/>
      </c>
      <c r="M92" s="2" t="str">
        <f t="array" ref="M92">IFERROR(INDEX(I:I,SMALL(IF($I$2:$I$450="ERROR", ROW($I$2:$I$450)),ROW()-1)), "")</f>
        <v/>
      </c>
      <c r="N92" s="2" t="str">
        <f t="array" ref="N92">IFERROR(INDEX(A:A,SMALL(IF($I$2:$I$450="ERROR", ROW($A$2:$A$450)),ROW()-1)), "")</f>
        <v/>
      </c>
      <c r="O92" s="2" t="str">
        <f t="array" ref="O92">IFERROR(INDEX(B:B,SMALL(IF($I$2:$I$450="ERROR", ROW($B$2:$B$450)),ROW()-1)), "")</f>
        <v/>
      </c>
      <c r="P92" s="5" t="str">
        <f t="array" ref="P92">IFERROR(INDEX(C:C,SMALL(IF($I$2:$I$450="ERROR", ROW($C$2:$C$450)),ROW()-1)), "")</f>
        <v/>
      </c>
      <c r="Q92" s="5" t="str">
        <f t="array" ref="Q92">IFERROR(INDEX(G:G,SMALL(IF($I$2:$I$450="ERROR", ROW($G$2:$G$450)),ROW()-1)), "")</f>
        <v/>
      </c>
      <c r="R92" s="8" t="str">
        <f t="shared" si="3"/>
        <v/>
      </c>
    </row>
    <row r="93" spans="1:18" x14ac:dyDescent="0.45">
      <c r="A93" s="3" t="s">
        <v>514</v>
      </c>
      <c r="B93" s="1" t="s">
        <v>93</v>
      </c>
      <c r="C93" s="5">
        <v>0.01</v>
      </c>
      <c r="D93" s="4">
        <v>12200</v>
      </c>
      <c r="E93" s="4">
        <v>12200</v>
      </c>
      <c r="F93" s="4">
        <v>12105</v>
      </c>
      <c r="G93" s="5">
        <v>7.7868852459016397E-3</v>
      </c>
      <c r="H93" s="6"/>
      <c r="I93" s="2" t="str">
        <f t="shared" si="2"/>
        <v>-</v>
      </c>
      <c r="J93" s="1" t="str">
        <f>IF(I93="ERROR",BeepMe(),"")</f>
        <v/>
      </c>
      <c r="M93" s="2" t="str">
        <f t="array" ref="M93">IFERROR(INDEX(I:I,SMALL(IF($I$2:$I$450="ERROR", ROW($I$2:$I$450)),ROW()-1)), "")</f>
        <v/>
      </c>
      <c r="N93" s="2" t="str">
        <f t="array" ref="N93">IFERROR(INDEX(A:A,SMALL(IF($I$2:$I$450="ERROR", ROW($A$2:$A$450)),ROW()-1)), "")</f>
        <v/>
      </c>
      <c r="O93" s="2" t="str">
        <f t="array" ref="O93">IFERROR(INDEX(B:B,SMALL(IF($I$2:$I$450="ERROR", ROW($B$2:$B$450)),ROW()-1)), "")</f>
        <v/>
      </c>
      <c r="P93" s="5" t="str">
        <f t="array" ref="P93">IFERROR(INDEX(C:C,SMALL(IF($I$2:$I$450="ERROR", ROW($C$2:$C$450)),ROW()-1)), "")</f>
        <v/>
      </c>
      <c r="Q93" s="5" t="str">
        <f t="array" ref="Q93">IFERROR(INDEX(G:G,SMALL(IF($I$2:$I$450="ERROR", ROW($G$2:$G$450)),ROW()-1)), "")</f>
        <v/>
      </c>
      <c r="R93" s="8" t="str">
        <f t="shared" si="3"/>
        <v/>
      </c>
    </row>
    <row r="94" spans="1:18" x14ac:dyDescent="0.45">
      <c r="A94" s="3" t="s">
        <v>515</v>
      </c>
      <c r="B94" s="1" t="s">
        <v>94</v>
      </c>
      <c r="C94" s="5">
        <v>5.0000000000000001E-3</v>
      </c>
      <c r="D94" s="4">
        <v>59730</v>
      </c>
      <c r="E94" s="4">
        <v>59880</v>
      </c>
      <c r="F94" s="4">
        <v>59755</v>
      </c>
      <c r="G94" s="5">
        <v>2.0927507115352417E-3</v>
      </c>
      <c r="H94" s="6"/>
      <c r="I94" s="2" t="str">
        <f t="shared" si="2"/>
        <v>-</v>
      </c>
      <c r="J94" s="1" t="str">
        <f>IF(I94="ERROR",BeepMe(),"")</f>
        <v/>
      </c>
      <c r="M94" s="2" t="str">
        <f t="array" ref="M94">IFERROR(INDEX(I:I,SMALL(IF($I$2:$I$450="ERROR", ROW($I$2:$I$450)),ROW()-1)), "")</f>
        <v/>
      </c>
      <c r="N94" s="2" t="str">
        <f t="array" ref="N94">IFERROR(INDEX(A:A,SMALL(IF($I$2:$I$450="ERROR", ROW($A$2:$A$450)),ROW()-1)), "")</f>
        <v/>
      </c>
      <c r="O94" s="2" t="str">
        <f t="array" ref="O94">IFERROR(INDEX(B:B,SMALL(IF($I$2:$I$450="ERROR", ROW($B$2:$B$450)),ROW()-1)), "")</f>
        <v/>
      </c>
      <c r="P94" s="5" t="str">
        <f t="array" ref="P94">IFERROR(INDEX(C:C,SMALL(IF($I$2:$I$450="ERROR", ROW($C$2:$C$450)),ROW()-1)), "")</f>
        <v/>
      </c>
      <c r="Q94" s="5" t="str">
        <f t="array" ref="Q94">IFERROR(INDEX(G:G,SMALL(IF($I$2:$I$450="ERROR", ROW($G$2:$G$450)),ROW()-1)), "")</f>
        <v/>
      </c>
      <c r="R94" s="8" t="str">
        <f t="shared" si="3"/>
        <v/>
      </c>
    </row>
    <row r="95" spans="1:18" x14ac:dyDescent="0.45">
      <c r="A95" s="3" t="s">
        <v>516</v>
      </c>
      <c r="B95" s="1" t="s">
        <v>95</v>
      </c>
      <c r="C95" s="5">
        <v>5.0000000000000001E-3</v>
      </c>
      <c r="D95" s="4">
        <v>39750</v>
      </c>
      <c r="E95" s="4">
        <v>39710</v>
      </c>
      <c r="F95" s="4">
        <v>39635</v>
      </c>
      <c r="G95" s="5">
        <v>1.8867924528301887E-3</v>
      </c>
      <c r="H95" s="6"/>
      <c r="I95" s="2" t="str">
        <f t="shared" si="2"/>
        <v>-</v>
      </c>
      <c r="J95" s="1" t="str">
        <f>IF(I95="ERROR",BeepMe(),"")</f>
        <v/>
      </c>
      <c r="M95" s="2" t="str">
        <f t="array" ref="M95">IFERROR(INDEX(I:I,SMALL(IF($I$2:$I$450="ERROR", ROW($I$2:$I$450)),ROW()-1)), "")</f>
        <v/>
      </c>
      <c r="N95" s="2" t="str">
        <f t="array" ref="N95">IFERROR(INDEX(A:A,SMALL(IF($I$2:$I$450="ERROR", ROW($A$2:$A$450)),ROW()-1)), "")</f>
        <v/>
      </c>
      <c r="O95" s="2" t="str">
        <f t="array" ref="O95">IFERROR(INDEX(B:B,SMALL(IF($I$2:$I$450="ERROR", ROW($B$2:$B$450)),ROW()-1)), "")</f>
        <v/>
      </c>
      <c r="P95" s="5" t="str">
        <f t="array" ref="P95">IFERROR(INDEX(C:C,SMALL(IF($I$2:$I$450="ERROR", ROW($C$2:$C$450)),ROW()-1)), "")</f>
        <v/>
      </c>
      <c r="Q95" s="5" t="str">
        <f t="array" ref="Q95">IFERROR(INDEX(G:G,SMALL(IF($I$2:$I$450="ERROR", ROW($G$2:$G$450)),ROW()-1)), "")</f>
        <v/>
      </c>
      <c r="R95" s="8" t="str">
        <f t="shared" si="3"/>
        <v/>
      </c>
    </row>
    <row r="96" spans="1:18" x14ac:dyDescent="0.45">
      <c r="A96" s="3" t="s">
        <v>517</v>
      </c>
      <c r="B96" s="1" t="s">
        <v>96</v>
      </c>
      <c r="C96" s="5">
        <v>0.01</v>
      </c>
      <c r="D96" s="4">
        <v>16735</v>
      </c>
      <c r="E96" s="4">
        <v>16735</v>
      </c>
      <c r="F96" s="4">
        <v>16725</v>
      </c>
      <c r="G96" s="5">
        <v>5.9755004481625333E-4</v>
      </c>
      <c r="H96" s="6"/>
      <c r="I96" s="2" t="str">
        <f t="shared" si="2"/>
        <v>-</v>
      </c>
      <c r="J96" s="1" t="str">
        <f>IF(I96="ERROR",BeepMe(),"")</f>
        <v/>
      </c>
      <c r="M96" s="2" t="str">
        <f t="array" ref="M96">IFERROR(INDEX(I:I,SMALL(IF($I$2:$I$450="ERROR", ROW($I$2:$I$450)),ROW()-1)), "")</f>
        <v/>
      </c>
      <c r="N96" s="2" t="str">
        <f t="array" ref="N96">IFERROR(INDEX(A:A,SMALL(IF($I$2:$I$450="ERROR", ROW($A$2:$A$450)),ROW()-1)), "")</f>
        <v/>
      </c>
      <c r="O96" s="2" t="str">
        <f t="array" ref="O96">IFERROR(INDEX(B:B,SMALL(IF($I$2:$I$450="ERROR", ROW($B$2:$B$450)),ROW()-1)), "")</f>
        <v/>
      </c>
      <c r="P96" s="5" t="str">
        <f t="array" ref="P96">IFERROR(INDEX(C:C,SMALL(IF($I$2:$I$450="ERROR", ROW($C$2:$C$450)),ROW()-1)), "")</f>
        <v/>
      </c>
      <c r="Q96" s="5" t="str">
        <f t="array" ref="Q96">IFERROR(INDEX(G:G,SMALL(IF($I$2:$I$450="ERROR", ROW($G$2:$G$450)),ROW()-1)), "")</f>
        <v/>
      </c>
      <c r="R96" s="8" t="str">
        <f t="shared" si="3"/>
        <v/>
      </c>
    </row>
    <row r="97" spans="1:18" x14ac:dyDescent="0.45">
      <c r="A97" s="3" t="s">
        <v>518</v>
      </c>
      <c r="B97" s="1" t="s">
        <v>97</v>
      </c>
      <c r="C97" s="5">
        <v>0.02</v>
      </c>
      <c r="D97" s="4">
        <v>10590</v>
      </c>
      <c r="E97" s="4">
        <v>10605</v>
      </c>
      <c r="F97" s="4">
        <v>10590</v>
      </c>
      <c r="G97" s="5">
        <v>1.4164305949008499E-3</v>
      </c>
      <c r="H97" s="6"/>
      <c r="I97" s="2" t="str">
        <f t="shared" si="2"/>
        <v>-</v>
      </c>
      <c r="J97" s="1" t="str">
        <f>IF(I97="ERROR",BeepMe(),"")</f>
        <v/>
      </c>
      <c r="M97" s="2" t="str">
        <f t="array" ref="M97">IFERROR(INDEX(I:I,SMALL(IF($I$2:$I$450="ERROR", ROW($I$2:$I$450)),ROW()-1)), "")</f>
        <v/>
      </c>
      <c r="N97" s="2" t="str">
        <f t="array" ref="N97">IFERROR(INDEX(A:A,SMALL(IF($I$2:$I$450="ERROR", ROW($A$2:$A$450)),ROW()-1)), "")</f>
        <v/>
      </c>
      <c r="O97" s="2" t="str">
        <f t="array" ref="O97">IFERROR(INDEX(B:B,SMALL(IF($I$2:$I$450="ERROR", ROW($B$2:$B$450)),ROW()-1)), "")</f>
        <v/>
      </c>
      <c r="P97" s="5" t="str">
        <f t="array" ref="P97">IFERROR(INDEX(C:C,SMALL(IF($I$2:$I$450="ERROR", ROW($C$2:$C$450)),ROW()-1)), "")</f>
        <v/>
      </c>
      <c r="Q97" s="5" t="str">
        <f t="array" ref="Q97">IFERROR(INDEX(G:G,SMALL(IF($I$2:$I$450="ERROR", ROW($G$2:$G$450)),ROW()-1)), "")</f>
        <v/>
      </c>
      <c r="R97" s="8" t="str">
        <f t="shared" si="3"/>
        <v/>
      </c>
    </row>
    <row r="98" spans="1:18" x14ac:dyDescent="0.45">
      <c r="A98" s="3" t="s">
        <v>519</v>
      </c>
      <c r="B98" s="1" t="s">
        <v>98</v>
      </c>
      <c r="C98" s="5">
        <v>0.01</v>
      </c>
      <c r="D98" s="4">
        <v>31700</v>
      </c>
      <c r="E98" s="4">
        <v>31805</v>
      </c>
      <c r="F98" s="4">
        <v>31700</v>
      </c>
      <c r="G98" s="5">
        <v>3.3123028391167193E-3</v>
      </c>
      <c r="H98" s="6"/>
      <c r="I98" s="2" t="str">
        <f t="shared" si="2"/>
        <v>-</v>
      </c>
      <c r="J98" s="1" t="str">
        <f>IF(I98="ERROR",BeepMe(),"")</f>
        <v/>
      </c>
      <c r="M98" s="2" t="str">
        <f t="array" ref="M98">IFERROR(INDEX(I:I,SMALL(IF($I$2:$I$450="ERROR", ROW($I$2:$I$450)),ROW()-1)), "")</f>
        <v/>
      </c>
      <c r="N98" s="2" t="str">
        <f t="array" ref="N98">IFERROR(INDEX(A:A,SMALL(IF($I$2:$I$450="ERROR", ROW($A$2:$A$450)),ROW()-1)), "")</f>
        <v/>
      </c>
      <c r="O98" s="2" t="str">
        <f t="array" ref="O98">IFERROR(INDEX(B:B,SMALL(IF($I$2:$I$450="ERROR", ROW($B$2:$B$450)),ROW()-1)), "")</f>
        <v/>
      </c>
      <c r="P98" s="5" t="str">
        <f t="array" ref="P98">IFERROR(INDEX(C:C,SMALL(IF($I$2:$I$450="ERROR", ROW($C$2:$C$450)),ROW()-1)), "")</f>
        <v/>
      </c>
      <c r="Q98" s="5" t="str">
        <f t="array" ref="Q98">IFERROR(INDEX(G:G,SMALL(IF($I$2:$I$450="ERROR", ROW($G$2:$G$450)),ROW()-1)), "")</f>
        <v/>
      </c>
      <c r="R98" s="8" t="str">
        <f t="shared" si="3"/>
        <v/>
      </c>
    </row>
    <row r="99" spans="1:18" x14ac:dyDescent="0.45">
      <c r="A99" s="3" t="s">
        <v>520</v>
      </c>
      <c r="B99" s="1" t="s">
        <v>99</v>
      </c>
      <c r="C99" s="5">
        <v>0.01</v>
      </c>
      <c r="D99" s="4">
        <v>15715</v>
      </c>
      <c r="E99" s="4">
        <v>15770</v>
      </c>
      <c r="F99" s="4">
        <v>15700</v>
      </c>
      <c r="G99" s="5">
        <v>4.4543429844097994E-3</v>
      </c>
      <c r="H99" s="6"/>
      <c r="I99" s="2" t="str">
        <f t="shared" si="2"/>
        <v>-</v>
      </c>
      <c r="J99" s="1" t="str">
        <f>IF(I99="ERROR",BeepMe(),"")</f>
        <v/>
      </c>
      <c r="M99" s="2" t="str">
        <f t="array" ref="M99">IFERROR(INDEX(I:I,SMALL(IF($I$2:$I$450="ERROR", ROW($I$2:$I$450)),ROW()-1)), "")</f>
        <v/>
      </c>
      <c r="N99" s="2" t="str">
        <f t="array" ref="N99">IFERROR(INDEX(A:A,SMALL(IF($I$2:$I$450="ERROR", ROW($A$2:$A$450)),ROW()-1)), "")</f>
        <v/>
      </c>
      <c r="O99" s="2" t="str">
        <f t="array" ref="O99">IFERROR(INDEX(B:B,SMALL(IF($I$2:$I$450="ERROR", ROW($B$2:$B$450)),ROW()-1)), "")</f>
        <v/>
      </c>
      <c r="P99" s="5" t="str">
        <f t="array" ref="P99">IFERROR(INDEX(C:C,SMALL(IF($I$2:$I$450="ERROR", ROW($C$2:$C$450)),ROW()-1)), "")</f>
        <v/>
      </c>
      <c r="Q99" s="5" t="str">
        <f t="array" ref="Q99">IFERROR(INDEX(G:G,SMALL(IF($I$2:$I$450="ERROR", ROW($G$2:$G$450)),ROW()-1)), "")</f>
        <v/>
      </c>
      <c r="R99" s="8" t="str">
        <f t="shared" si="3"/>
        <v/>
      </c>
    </row>
    <row r="100" spans="1:18" x14ac:dyDescent="0.45">
      <c r="A100" s="3" t="s">
        <v>521</v>
      </c>
      <c r="B100" s="1" t="s">
        <v>100</v>
      </c>
      <c r="C100" s="5">
        <v>0.01</v>
      </c>
      <c r="D100" s="4">
        <v>12990</v>
      </c>
      <c r="E100" s="4">
        <v>13100</v>
      </c>
      <c r="F100" s="4">
        <v>12990</v>
      </c>
      <c r="G100" s="5">
        <v>8.4680523479599683E-3</v>
      </c>
      <c r="H100" s="6"/>
      <c r="I100" s="2" t="str">
        <f t="shared" si="2"/>
        <v>-</v>
      </c>
      <c r="J100" s="1" t="str">
        <f>IF(I100="ERROR",BeepMe(),"")</f>
        <v/>
      </c>
      <c r="M100" s="2" t="str">
        <f t="array" ref="M100">IFERROR(INDEX(I:I,SMALL(IF($I$2:$I$450="ERROR", ROW($I$2:$I$450)),ROW()-1)), "")</f>
        <v/>
      </c>
      <c r="N100" s="2" t="str">
        <f t="array" ref="N100">IFERROR(INDEX(A:A,SMALL(IF($I$2:$I$450="ERROR", ROW($A$2:$A$450)),ROW()-1)), "")</f>
        <v/>
      </c>
      <c r="O100" s="2" t="str">
        <f t="array" ref="O100">IFERROR(INDEX(B:B,SMALL(IF($I$2:$I$450="ERROR", ROW($B$2:$B$450)),ROW()-1)), "")</f>
        <v/>
      </c>
      <c r="P100" s="5" t="str">
        <f t="array" ref="P100">IFERROR(INDEX(C:C,SMALL(IF($I$2:$I$450="ERROR", ROW($C$2:$C$450)),ROW()-1)), "")</f>
        <v/>
      </c>
      <c r="Q100" s="5" t="str">
        <f t="array" ref="Q100">IFERROR(INDEX(G:G,SMALL(IF($I$2:$I$450="ERROR", ROW($G$2:$G$450)),ROW()-1)), "")</f>
        <v/>
      </c>
      <c r="R100" s="8" t="str">
        <f t="shared" si="3"/>
        <v/>
      </c>
    </row>
    <row r="101" spans="1:18" x14ac:dyDescent="0.45">
      <c r="A101" s="3" t="s">
        <v>522</v>
      </c>
      <c r="B101" s="1" t="s">
        <v>101</v>
      </c>
      <c r="C101" s="5">
        <v>0.01</v>
      </c>
      <c r="D101" s="4">
        <v>11200</v>
      </c>
      <c r="E101" s="4">
        <v>11200</v>
      </c>
      <c r="F101" s="4">
        <v>11145</v>
      </c>
      <c r="G101" s="5">
        <v>4.9107142857142856E-3</v>
      </c>
      <c r="H101" s="6"/>
      <c r="I101" s="2" t="str">
        <f t="shared" si="2"/>
        <v>-</v>
      </c>
      <c r="J101" s="1" t="str">
        <f>IF(I101="ERROR",BeepMe(),"")</f>
        <v/>
      </c>
      <c r="M101" s="2" t="str">
        <f t="array" ref="M101">IFERROR(INDEX(I:I,SMALL(IF($I$2:$I$450="ERROR", ROW($I$2:$I$450)),ROW()-1)), "")</f>
        <v/>
      </c>
      <c r="N101" s="2" t="str">
        <f t="array" ref="N101">IFERROR(INDEX(A:A,SMALL(IF($I$2:$I$450="ERROR", ROW($A$2:$A$450)),ROW()-1)), "")</f>
        <v/>
      </c>
      <c r="O101" s="2" t="str">
        <f t="array" ref="O101">IFERROR(INDEX(B:B,SMALL(IF($I$2:$I$450="ERROR", ROW($B$2:$B$450)),ROW()-1)), "")</f>
        <v/>
      </c>
      <c r="P101" s="5" t="str">
        <f t="array" ref="P101">IFERROR(INDEX(C:C,SMALL(IF($I$2:$I$450="ERROR", ROW($C$2:$C$450)),ROW()-1)), "")</f>
        <v/>
      </c>
      <c r="Q101" s="5" t="str">
        <f t="array" ref="Q101">IFERROR(INDEX(G:G,SMALL(IF($I$2:$I$450="ERROR", ROW($G$2:$G$450)),ROW()-1)), "")</f>
        <v/>
      </c>
      <c r="R101" s="8" t="str">
        <f t="shared" si="3"/>
        <v/>
      </c>
    </row>
    <row r="102" spans="1:18" x14ac:dyDescent="0.45">
      <c r="A102" s="3" t="s">
        <v>523</v>
      </c>
      <c r="B102" s="1" t="s">
        <v>102</v>
      </c>
      <c r="C102" s="5">
        <v>0.01</v>
      </c>
      <c r="D102" s="4">
        <v>10610</v>
      </c>
      <c r="E102" s="4">
        <v>10610</v>
      </c>
      <c r="F102" s="4">
        <v>10600</v>
      </c>
      <c r="G102" s="5">
        <v>9.42507068803016E-4</v>
      </c>
      <c r="H102" s="6"/>
      <c r="I102" s="2" t="str">
        <f t="shared" si="2"/>
        <v>-</v>
      </c>
      <c r="J102" s="1" t="str">
        <f>IF(I102="ERROR",BeepMe(),"")</f>
        <v/>
      </c>
      <c r="M102" s="2" t="str">
        <f t="array" ref="M102">IFERROR(INDEX(I:I,SMALL(IF($I$2:$I$450="ERROR", ROW($I$2:$I$450)),ROW()-1)), "")</f>
        <v/>
      </c>
      <c r="N102" s="2" t="str">
        <f t="array" ref="N102">IFERROR(INDEX(A:A,SMALL(IF($I$2:$I$450="ERROR", ROW($A$2:$A$450)),ROW()-1)), "")</f>
        <v/>
      </c>
      <c r="O102" s="2" t="str">
        <f t="array" ref="O102">IFERROR(INDEX(B:B,SMALL(IF($I$2:$I$450="ERROR", ROW($B$2:$B$450)),ROW()-1)), "")</f>
        <v/>
      </c>
      <c r="P102" s="5" t="str">
        <f t="array" ref="P102">IFERROR(INDEX(C:C,SMALL(IF($I$2:$I$450="ERROR", ROW($C$2:$C$450)),ROW()-1)), "")</f>
        <v/>
      </c>
      <c r="Q102" s="5" t="str">
        <f t="array" ref="Q102">IFERROR(INDEX(G:G,SMALL(IF($I$2:$I$450="ERROR", ROW($G$2:$G$450)),ROW()-1)), "")</f>
        <v/>
      </c>
      <c r="R102" s="8" t="str">
        <f t="shared" si="3"/>
        <v/>
      </c>
    </row>
    <row r="103" spans="1:18" x14ac:dyDescent="0.45">
      <c r="A103" s="3" t="s">
        <v>524</v>
      </c>
      <c r="B103" s="1" t="s">
        <v>103</v>
      </c>
      <c r="C103" s="5">
        <v>0.01</v>
      </c>
      <c r="D103" s="4">
        <v>20110</v>
      </c>
      <c r="E103" s="4">
        <v>20110</v>
      </c>
      <c r="F103" s="4">
        <v>20050</v>
      </c>
      <c r="G103" s="5">
        <v>2.9835902536051715E-3</v>
      </c>
      <c r="H103" s="6"/>
      <c r="I103" s="2" t="str">
        <f t="shared" si="2"/>
        <v>-</v>
      </c>
      <c r="J103" s="1" t="str">
        <f>IF(I103="ERROR",BeepMe(),"")</f>
        <v/>
      </c>
      <c r="M103" s="2" t="str">
        <f t="array" ref="M103">IFERROR(INDEX(I:I,SMALL(IF($I$2:$I$450="ERROR", ROW($I$2:$I$450)),ROW()-1)), "")</f>
        <v/>
      </c>
      <c r="N103" s="2" t="str">
        <f t="array" ref="N103">IFERROR(INDEX(A:A,SMALL(IF($I$2:$I$450="ERROR", ROW($A$2:$A$450)),ROW()-1)), "")</f>
        <v/>
      </c>
      <c r="O103" s="2" t="str">
        <f t="array" ref="O103">IFERROR(INDEX(B:B,SMALL(IF($I$2:$I$450="ERROR", ROW($B$2:$B$450)),ROW()-1)), "")</f>
        <v/>
      </c>
      <c r="P103" s="5" t="str">
        <f t="array" ref="P103">IFERROR(INDEX(C:C,SMALL(IF($I$2:$I$450="ERROR", ROW($C$2:$C$450)),ROW()-1)), "")</f>
        <v/>
      </c>
      <c r="Q103" s="5" t="str">
        <f t="array" ref="Q103">IFERROR(INDEX(G:G,SMALL(IF($I$2:$I$450="ERROR", ROW($G$2:$G$450)),ROW()-1)), "")</f>
        <v/>
      </c>
      <c r="R103" s="8" t="str">
        <f t="shared" si="3"/>
        <v/>
      </c>
    </row>
    <row r="104" spans="1:18" x14ac:dyDescent="0.45">
      <c r="A104" s="3" t="s">
        <v>525</v>
      </c>
      <c r="B104" s="1" t="s">
        <v>104</v>
      </c>
      <c r="C104" s="5">
        <v>5.0000000000000001E-3</v>
      </c>
      <c r="D104" s="4">
        <v>105025</v>
      </c>
      <c r="E104" s="4">
        <v>105030</v>
      </c>
      <c r="F104" s="4">
        <v>105025</v>
      </c>
      <c r="G104" s="5">
        <v>4.7607712449416804E-5</v>
      </c>
      <c r="H104" s="6"/>
      <c r="I104" s="2" t="str">
        <f t="shared" si="2"/>
        <v>-</v>
      </c>
      <c r="J104" s="1" t="str">
        <f>IF(I104="ERROR",BeepMe(),"")</f>
        <v/>
      </c>
      <c r="M104" s="2" t="str">
        <f t="array" ref="M104">IFERROR(INDEX(I:I,SMALL(IF($I$2:$I$450="ERROR", ROW($I$2:$I$450)),ROW()-1)), "")</f>
        <v/>
      </c>
      <c r="N104" s="2" t="str">
        <f t="array" ref="N104">IFERROR(INDEX(A:A,SMALL(IF($I$2:$I$450="ERROR", ROW($A$2:$A$450)),ROW()-1)), "")</f>
        <v/>
      </c>
      <c r="O104" s="2" t="str">
        <f t="array" ref="O104">IFERROR(INDEX(B:B,SMALL(IF($I$2:$I$450="ERROR", ROW($B$2:$B$450)),ROW()-1)), "")</f>
        <v/>
      </c>
      <c r="P104" s="5" t="str">
        <f t="array" ref="P104">IFERROR(INDEX(C:C,SMALL(IF($I$2:$I$450="ERROR", ROW($C$2:$C$450)),ROW()-1)), "")</f>
        <v/>
      </c>
      <c r="Q104" s="5" t="str">
        <f t="array" ref="Q104">IFERROR(INDEX(G:G,SMALL(IF($I$2:$I$450="ERROR", ROW($G$2:$G$450)),ROW()-1)), "")</f>
        <v/>
      </c>
      <c r="R104" s="8" t="str">
        <f t="shared" si="3"/>
        <v/>
      </c>
    </row>
    <row r="105" spans="1:18" x14ac:dyDescent="0.45">
      <c r="A105" s="3" t="s">
        <v>526</v>
      </c>
      <c r="B105" s="1" t="s">
        <v>105</v>
      </c>
      <c r="C105" s="5">
        <v>0.01</v>
      </c>
      <c r="D105" s="4">
        <v>18710</v>
      </c>
      <c r="E105" s="4">
        <v>18710</v>
      </c>
      <c r="F105" s="4">
        <v>18690</v>
      </c>
      <c r="G105" s="5">
        <v>1.0689470871191875E-3</v>
      </c>
      <c r="H105" s="6"/>
      <c r="I105" s="2" t="str">
        <f t="shared" si="2"/>
        <v>-</v>
      </c>
      <c r="J105" s="1" t="str">
        <f>IF(I105="ERROR",BeepMe(),"")</f>
        <v/>
      </c>
      <c r="M105" s="2" t="str">
        <f t="array" ref="M105">IFERROR(INDEX(I:I,SMALL(IF($I$2:$I$450="ERROR", ROW($I$2:$I$450)),ROW()-1)), "")</f>
        <v/>
      </c>
      <c r="N105" s="2" t="str">
        <f t="array" ref="N105">IFERROR(INDEX(A:A,SMALL(IF($I$2:$I$450="ERROR", ROW($A$2:$A$450)),ROW()-1)), "")</f>
        <v/>
      </c>
      <c r="O105" s="2" t="str">
        <f t="array" ref="O105">IFERROR(INDEX(B:B,SMALL(IF($I$2:$I$450="ERROR", ROW($B$2:$B$450)),ROW()-1)), "")</f>
        <v/>
      </c>
      <c r="P105" s="5" t="str">
        <f t="array" ref="P105">IFERROR(INDEX(C:C,SMALL(IF($I$2:$I$450="ERROR", ROW($C$2:$C$450)),ROW()-1)), "")</f>
        <v/>
      </c>
      <c r="Q105" s="5" t="str">
        <f t="array" ref="Q105">IFERROR(INDEX(G:G,SMALL(IF($I$2:$I$450="ERROR", ROW($G$2:$G$450)),ROW()-1)), "")</f>
        <v/>
      </c>
      <c r="R105" s="8" t="str">
        <f t="shared" si="3"/>
        <v/>
      </c>
    </row>
    <row r="106" spans="1:18" x14ac:dyDescent="0.45">
      <c r="A106" s="3" t="s">
        <v>527</v>
      </c>
      <c r="B106" s="1" t="s">
        <v>106</v>
      </c>
      <c r="C106" s="5">
        <v>0.02</v>
      </c>
      <c r="D106" s="4">
        <v>19195</v>
      </c>
      <c r="E106" s="4">
        <v>19195</v>
      </c>
      <c r="F106" s="4">
        <v>19145</v>
      </c>
      <c r="G106" s="5">
        <v>2.6048450117218025E-3</v>
      </c>
      <c r="H106" s="6"/>
      <c r="I106" s="2" t="str">
        <f t="shared" si="2"/>
        <v>-</v>
      </c>
      <c r="J106" s="1" t="str">
        <f>IF(I106="ERROR",BeepMe(),"")</f>
        <v/>
      </c>
      <c r="M106" s="2" t="str">
        <f t="array" ref="M106">IFERROR(INDEX(I:I,SMALL(IF($I$2:$I$450="ERROR", ROW($I$2:$I$450)),ROW()-1)), "")</f>
        <v/>
      </c>
      <c r="N106" s="2" t="str">
        <f t="array" ref="N106">IFERROR(INDEX(A:A,SMALL(IF($I$2:$I$450="ERROR", ROW($A$2:$A$450)),ROW()-1)), "")</f>
        <v/>
      </c>
      <c r="O106" s="2" t="str">
        <f t="array" ref="O106">IFERROR(INDEX(B:B,SMALL(IF($I$2:$I$450="ERROR", ROW($B$2:$B$450)),ROW()-1)), "")</f>
        <v/>
      </c>
      <c r="P106" s="5" t="str">
        <f t="array" ref="P106">IFERROR(INDEX(C:C,SMALL(IF($I$2:$I$450="ERROR", ROW($C$2:$C$450)),ROW()-1)), "")</f>
        <v/>
      </c>
      <c r="Q106" s="5" t="str">
        <f t="array" ref="Q106">IFERROR(INDEX(G:G,SMALL(IF($I$2:$I$450="ERROR", ROW($G$2:$G$450)),ROW()-1)), "")</f>
        <v/>
      </c>
      <c r="R106" s="8" t="str">
        <f t="shared" si="3"/>
        <v/>
      </c>
    </row>
    <row r="107" spans="1:18" x14ac:dyDescent="0.45">
      <c r="A107" s="3" t="s">
        <v>528</v>
      </c>
      <c r="B107" s="1" t="s">
        <v>107</v>
      </c>
      <c r="C107" s="5">
        <v>0.01</v>
      </c>
      <c r="D107" s="4">
        <v>2950</v>
      </c>
      <c r="E107" s="4">
        <v>2955</v>
      </c>
      <c r="F107" s="4">
        <v>2950</v>
      </c>
      <c r="G107" s="5">
        <v>1.6949152542372881E-3</v>
      </c>
      <c r="H107" s="6"/>
      <c r="I107" s="2" t="str">
        <f t="shared" si="2"/>
        <v>-</v>
      </c>
      <c r="J107" s="1" t="str">
        <f>IF(I107="ERROR",BeepMe(),"")</f>
        <v/>
      </c>
      <c r="M107" s="2" t="str">
        <f t="array" ref="M107">IFERROR(INDEX(I:I,SMALL(IF($I$2:$I$450="ERROR", ROW($I$2:$I$450)),ROW()-1)), "")</f>
        <v/>
      </c>
      <c r="N107" s="2" t="str">
        <f t="array" ref="N107">IFERROR(INDEX(A:A,SMALL(IF($I$2:$I$450="ERROR", ROW($A$2:$A$450)),ROW()-1)), "")</f>
        <v/>
      </c>
      <c r="O107" s="2" t="str">
        <f t="array" ref="O107">IFERROR(INDEX(B:B,SMALL(IF($I$2:$I$450="ERROR", ROW($B$2:$B$450)),ROW()-1)), "")</f>
        <v/>
      </c>
      <c r="P107" s="5" t="str">
        <f t="array" ref="P107">IFERROR(INDEX(C:C,SMALL(IF($I$2:$I$450="ERROR", ROW($C$2:$C$450)),ROW()-1)), "")</f>
        <v/>
      </c>
      <c r="Q107" s="5" t="str">
        <f t="array" ref="Q107">IFERROR(INDEX(G:G,SMALL(IF($I$2:$I$450="ERROR", ROW($G$2:$G$450)),ROW()-1)), "")</f>
        <v/>
      </c>
      <c r="R107" s="8" t="str">
        <f t="shared" si="3"/>
        <v/>
      </c>
    </row>
    <row r="108" spans="1:18" x14ac:dyDescent="0.45">
      <c r="A108" s="3" t="s">
        <v>529</v>
      </c>
      <c r="B108" s="1" t="s">
        <v>108</v>
      </c>
      <c r="C108" s="5">
        <v>0.02</v>
      </c>
      <c r="D108" s="4">
        <v>24980</v>
      </c>
      <c r="E108" s="4">
        <v>24980</v>
      </c>
      <c r="F108" s="4">
        <v>24970</v>
      </c>
      <c r="G108" s="5">
        <v>4.0032025620496394E-4</v>
      </c>
      <c r="H108" s="6"/>
      <c r="I108" s="2" t="str">
        <f t="shared" si="2"/>
        <v>-</v>
      </c>
      <c r="J108" s="1" t="str">
        <f>IF(I108="ERROR",BeepMe(),"")</f>
        <v/>
      </c>
      <c r="M108" s="2" t="str">
        <f t="array" ref="M108">IFERROR(INDEX(I:I,SMALL(IF($I$2:$I$450="ERROR", ROW($I$2:$I$450)),ROW()-1)), "")</f>
        <v/>
      </c>
      <c r="N108" s="2" t="str">
        <f t="array" ref="N108">IFERROR(INDEX(A:A,SMALL(IF($I$2:$I$450="ERROR", ROW($A$2:$A$450)),ROW()-1)), "")</f>
        <v/>
      </c>
      <c r="O108" s="2" t="str">
        <f t="array" ref="O108">IFERROR(INDEX(B:B,SMALL(IF($I$2:$I$450="ERROR", ROW($B$2:$B$450)),ROW()-1)), "")</f>
        <v/>
      </c>
      <c r="P108" s="5" t="str">
        <f t="array" ref="P108">IFERROR(INDEX(C:C,SMALL(IF($I$2:$I$450="ERROR", ROW($C$2:$C$450)),ROW()-1)), "")</f>
        <v/>
      </c>
      <c r="Q108" s="5" t="str">
        <f t="array" ref="Q108">IFERROR(INDEX(G:G,SMALL(IF($I$2:$I$450="ERROR", ROW($G$2:$G$450)),ROW()-1)), "")</f>
        <v/>
      </c>
      <c r="R108" s="8" t="str">
        <f t="shared" si="3"/>
        <v/>
      </c>
    </row>
    <row r="109" spans="1:18" x14ac:dyDescent="0.45">
      <c r="A109" s="3" t="s">
        <v>530</v>
      </c>
      <c r="B109" s="1" t="s">
        <v>109</v>
      </c>
      <c r="C109" s="5">
        <v>0.01</v>
      </c>
      <c r="D109" s="4">
        <v>4225</v>
      </c>
      <c r="E109" s="4">
        <v>4245</v>
      </c>
      <c r="F109" s="4">
        <v>4225</v>
      </c>
      <c r="G109" s="5">
        <v>4.7337278106508876E-3</v>
      </c>
      <c r="H109" s="6"/>
      <c r="I109" s="2" t="str">
        <f t="shared" si="2"/>
        <v>-</v>
      </c>
      <c r="J109" s="1" t="str">
        <f>IF(I109="ERROR",BeepMe(),"")</f>
        <v/>
      </c>
      <c r="M109" s="2" t="str">
        <f t="array" ref="M109">IFERROR(INDEX(I:I,SMALL(IF($I$2:$I$450="ERROR", ROW($I$2:$I$450)),ROW()-1)), "")</f>
        <v/>
      </c>
      <c r="N109" s="2" t="str">
        <f t="array" ref="N109">IFERROR(INDEX(A:A,SMALL(IF($I$2:$I$450="ERROR", ROW($A$2:$A$450)),ROW()-1)), "")</f>
        <v/>
      </c>
      <c r="O109" s="2" t="str">
        <f t="array" ref="O109">IFERROR(INDEX(B:B,SMALL(IF($I$2:$I$450="ERROR", ROW($B$2:$B$450)),ROW()-1)), "")</f>
        <v/>
      </c>
      <c r="P109" s="5" t="str">
        <f t="array" ref="P109">IFERROR(INDEX(C:C,SMALL(IF($I$2:$I$450="ERROR", ROW($C$2:$C$450)),ROW()-1)), "")</f>
        <v/>
      </c>
      <c r="Q109" s="5" t="str">
        <f t="array" ref="Q109">IFERROR(INDEX(G:G,SMALL(IF($I$2:$I$450="ERROR", ROW($G$2:$G$450)),ROW()-1)), "")</f>
        <v/>
      </c>
      <c r="R109" s="8" t="str">
        <f t="shared" si="3"/>
        <v/>
      </c>
    </row>
    <row r="110" spans="1:18" x14ac:dyDescent="0.45">
      <c r="A110" s="3" t="s">
        <v>531</v>
      </c>
      <c r="B110" s="1" t="s">
        <v>110</v>
      </c>
      <c r="C110" s="5">
        <v>0.01</v>
      </c>
      <c r="D110" s="4">
        <v>16100</v>
      </c>
      <c r="E110" s="4">
        <v>16100</v>
      </c>
      <c r="F110" s="4">
        <v>16090</v>
      </c>
      <c r="G110" s="5">
        <v>6.2111801242236027E-4</v>
      </c>
      <c r="H110" s="6"/>
      <c r="I110" s="2" t="str">
        <f t="shared" si="2"/>
        <v>-</v>
      </c>
      <c r="J110" s="1" t="str">
        <f>IF(I110="ERROR",BeepMe(),"")</f>
        <v/>
      </c>
      <c r="M110" s="2" t="str">
        <f t="array" ref="M110">IFERROR(INDEX(I:I,SMALL(IF($I$2:$I$450="ERROR", ROW($I$2:$I$450)),ROW()-1)), "")</f>
        <v/>
      </c>
      <c r="N110" s="2" t="str">
        <f t="array" ref="N110">IFERROR(INDEX(A:A,SMALL(IF($I$2:$I$450="ERROR", ROW($A$2:$A$450)),ROW()-1)), "")</f>
        <v/>
      </c>
      <c r="O110" s="2" t="str">
        <f t="array" ref="O110">IFERROR(INDEX(B:B,SMALL(IF($I$2:$I$450="ERROR", ROW($B$2:$B$450)),ROW()-1)), "")</f>
        <v/>
      </c>
      <c r="P110" s="5" t="str">
        <f t="array" ref="P110">IFERROR(INDEX(C:C,SMALL(IF($I$2:$I$450="ERROR", ROW($C$2:$C$450)),ROW()-1)), "")</f>
        <v/>
      </c>
      <c r="Q110" s="5" t="str">
        <f t="array" ref="Q110">IFERROR(INDEX(G:G,SMALL(IF($I$2:$I$450="ERROR", ROW($G$2:$G$450)),ROW()-1)), "")</f>
        <v/>
      </c>
      <c r="R110" s="8" t="str">
        <f t="shared" si="3"/>
        <v/>
      </c>
    </row>
    <row r="111" spans="1:18" x14ac:dyDescent="0.45">
      <c r="A111" s="3" t="s">
        <v>532</v>
      </c>
      <c r="B111" s="1" t="s">
        <v>111</v>
      </c>
      <c r="C111" s="5">
        <v>0.01</v>
      </c>
      <c r="D111" s="4">
        <v>18905</v>
      </c>
      <c r="E111" s="4">
        <v>18905</v>
      </c>
      <c r="F111" s="4">
        <v>18890</v>
      </c>
      <c r="G111" s="5">
        <v>7.9344088865379526E-4</v>
      </c>
      <c r="H111" s="6"/>
      <c r="I111" s="2" t="str">
        <f t="shared" si="2"/>
        <v>-</v>
      </c>
      <c r="J111" s="1" t="str">
        <f>IF(I111="ERROR",BeepMe(),"")</f>
        <v/>
      </c>
      <c r="M111" s="2" t="str">
        <f t="array" ref="M111">IFERROR(INDEX(I:I,SMALL(IF($I$2:$I$450="ERROR", ROW($I$2:$I$450)),ROW()-1)), "")</f>
        <v/>
      </c>
      <c r="N111" s="2" t="str">
        <f t="array" ref="N111">IFERROR(INDEX(A:A,SMALL(IF($I$2:$I$450="ERROR", ROW($A$2:$A$450)),ROW()-1)), "")</f>
        <v/>
      </c>
      <c r="O111" s="2" t="str">
        <f t="array" ref="O111">IFERROR(INDEX(B:B,SMALL(IF($I$2:$I$450="ERROR", ROW($B$2:$B$450)),ROW()-1)), "")</f>
        <v/>
      </c>
      <c r="P111" s="5" t="str">
        <f t="array" ref="P111">IFERROR(INDEX(C:C,SMALL(IF($I$2:$I$450="ERROR", ROW($C$2:$C$450)),ROW()-1)), "")</f>
        <v/>
      </c>
      <c r="Q111" s="5" t="str">
        <f t="array" ref="Q111">IFERROR(INDEX(G:G,SMALL(IF($I$2:$I$450="ERROR", ROW($G$2:$G$450)),ROW()-1)), "")</f>
        <v/>
      </c>
      <c r="R111" s="8" t="str">
        <f t="shared" si="3"/>
        <v/>
      </c>
    </row>
    <row r="112" spans="1:18" x14ac:dyDescent="0.45">
      <c r="A112" s="3" t="s">
        <v>533</v>
      </c>
      <c r="B112" s="1" t="s">
        <v>112</v>
      </c>
      <c r="C112" s="5">
        <v>0.01</v>
      </c>
      <c r="D112" s="4">
        <v>15230</v>
      </c>
      <c r="E112" s="4">
        <v>15230</v>
      </c>
      <c r="F112" s="4">
        <v>15215</v>
      </c>
      <c r="G112" s="5">
        <v>9.8489822718319099E-4</v>
      </c>
      <c r="H112" s="6"/>
      <c r="I112" s="2" t="str">
        <f t="shared" si="2"/>
        <v>-</v>
      </c>
      <c r="J112" s="1" t="str">
        <f>IF(I112="ERROR",BeepMe(),"")</f>
        <v/>
      </c>
      <c r="M112" s="2" t="str">
        <f t="array" ref="M112">IFERROR(INDEX(I:I,SMALL(IF($I$2:$I$450="ERROR", ROW($I$2:$I$450)),ROW()-1)), "")</f>
        <v/>
      </c>
      <c r="N112" s="2" t="str">
        <f t="array" ref="N112">IFERROR(INDEX(A:A,SMALL(IF($I$2:$I$450="ERROR", ROW($A$2:$A$450)),ROW()-1)), "")</f>
        <v/>
      </c>
      <c r="O112" s="2" t="str">
        <f t="array" ref="O112">IFERROR(INDEX(B:B,SMALL(IF($I$2:$I$450="ERROR", ROW($B$2:$B$450)),ROW()-1)), "")</f>
        <v/>
      </c>
      <c r="P112" s="5" t="str">
        <f t="array" ref="P112">IFERROR(INDEX(C:C,SMALL(IF($I$2:$I$450="ERROR", ROW($C$2:$C$450)),ROW()-1)), "")</f>
        <v/>
      </c>
      <c r="Q112" s="5" t="str">
        <f t="array" ref="Q112">IFERROR(INDEX(G:G,SMALL(IF($I$2:$I$450="ERROR", ROW($G$2:$G$450)),ROW()-1)), "")</f>
        <v/>
      </c>
      <c r="R112" s="8" t="str">
        <f t="shared" si="3"/>
        <v/>
      </c>
    </row>
    <row r="113" spans="1:18" x14ac:dyDescent="0.45">
      <c r="A113" s="3" t="s">
        <v>534</v>
      </c>
      <c r="B113" s="1" t="s">
        <v>113</v>
      </c>
      <c r="C113" s="5">
        <v>0.01</v>
      </c>
      <c r="D113" s="4">
        <v>9100</v>
      </c>
      <c r="E113" s="4">
        <v>9100</v>
      </c>
      <c r="F113" s="4">
        <v>9095</v>
      </c>
      <c r="G113" s="5">
        <v>5.4945054945054945E-4</v>
      </c>
      <c r="H113" s="6"/>
      <c r="I113" s="2" t="str">
        <f t="shared" si="2"/>
        <v>-</v>
      </c>
      <c r="J113" s="1" t="str">
        <f>IF(I113="ERROR",BeepMe(),"")</f>
        <v/>
      </c>
      <c r="M113" s="2" t="str">
        <f t="array" ref="M113">IFERROR(INDEX(I:I,SMALL(IF($I$2:$I$450="ERROR", ROW($I$2:$I$450)),ROW()-1)), "")</f>
        <v/>
      </c>
      <c r="N113" s="2" t="str">
        <f t="array" ref="N113">IFERROR(INDEX(A:A,SMALL(IF($I$2:$I$450="ERROR", ROW($A$2:$A$450)),ROW()-1)), "")</f>
        <v/>
      </c>
      <c r="O113" s="2" t="str">
        <f t="array" ref="O113">IFERROR(INDEX(B:B,SMALL(IF($I$2:$I$450="ERROR", ROW($B$2:$B$450)),ROW()-1)), "")</f>
        <v/>
      </c>
      <c r="P113" s="5" t="str">
        <f t="array" ref="P113">IFERROR(INDEX(C:C,SMALL(IF($I$2:$I$450="ERROR", ROW($C$2:$C$450)),ROW()-1)), "")</f>
        <v/>
      </c>
      <c r="Q113" s="5" t="str">
        <f t="array" ref="Q113">IFERROR(INDEX(G:G,SMALL(IF($I$2:$I$450="ERROR", ROW($G$2:$G$450)),ROW()-1)), "")</f>
        <v/>
      </c>
      <c r="R113" s="8" t="str">
        <f t="shared" si="3"/>
        <v/>
      </c>
    </row>
    <row r="114" spans="1:18" x14ac:dyDescent="0.45">
      <c r="A114" s="3" t="s">
        <v>535</v>
      </c>
      <c r="B114" s="1" t="s">
        <v>114</v>
      </c>
      <c r="C114" s="5">
        <v>5.0000000000000001E-3</v>
      </c>
      <c r="D114" s="4">
        <v>103715</v>
      </c>
      <c r="E114" s="4">
        <v>103715</v>
      </c>
      <c r="F114" s="4">
        <v>103710</v>
      </c>
      <c r="G114" s="5">
        <v>4.8209034373041508E-5</v>
      </c>
      <c r="H114" s="6"/>
      <c r="I114" s="2" t="str">
        <f t="shared" si="2"/>
        <v>-</v>
      </c>
      <c r="J114" s="1" t="str">
        <f>IF(I114="ERROR",BeepMe(),"")</f>
        <v/>
      </c>
      <c r="M114" s="2" t="str">
        <f t="array" ref="M114">IFERROR(INDEX(I:I,SMALL(IF($I$2:$I$450="ERROR", ROW($I$2:$I$450)),ROW()-1)), "")</f>
        <v/>
      </c>
      <c r="N114" s="2" t="str">
        <f t="array" ref="N114">IFERROR(INDEX(A:A,SMALL(IF($I$2:$I$450="ERROR", ROW($A$2:$A$450)),ROW()-1)), "")</f>
        <v/>
      </c>
      <c r="O114" s="2" t="str">
        <f t="array" ref="O114">IFERROR(INDEX(B:B,SMALL(IF($I$2:$I$450="ERROR", ROW($B$2:$B$450)),ROW()-1)), "")</f>
        <v/>
      </c>
      <c r="P114" s="5" t="str">
        <f t="array" ref="P114">IFERROR(INDEX(C:C,SMALL(IF($I$2:$I$450="ERROR", ROW($C$2:$C$450)),ROW()-1)), "")</f>
        <v/>
      </c>
      <c r="Q114" s="5" t="str">
        <f t="array" ref="Q114">IFERROR(INDEX(G:G,SMALL(IF($I$2:$I$450="ERROR", ROW($G$2:$G$450)),ROW()-1)), "")</f>
        <v/>
      </c>
      <c r="R114" s="8" t="str">
        <f t="shared" si="3"/>
        <v/>
      </c>
    </row>
    <row r="115" spans="1:18" x14ac:dyDescent="0.45">
      <c r="A115" s="3" t="s">
        <v>536</v>
      </c>
      <c r="B115" s="1" t="s">
        <v>115</v>
      </c>
      <c r="C115" s="5">
        <v>0.01</v>
      </c>
      <c r="D115" s="4">
        <v>12525</v>
      </c>
      <c r="E115" s="4">
        <v>12525</v>
      </c>
      <c r="F115" s="4">
        <v>12465</v>
      </c>
      <c r="G115" s="5">
        <v>4.7904191616766467E-3</v>
      </c>
      <c r="H115" s="6"/>
      <c r="I115" s="2" t="str">
        <f t="shared" si="2"/>
        <v>-</v>
      </c>
      <c r="J115" s="1" t="str">
        <f>IF(I115="ERROR",BeepMe(),"")</f>
        <v/>
      </c>
      <c r="M115" s="2" t="str">
        <f t="array" ref="M115">IFERROR(INDEX(I:I,SMALL(IF($I$2:$I$450="ERROR", ROW($I$2:$I$450)),ROW()-1)), "")</f>
        <v/>
      </c>
      <c r="N115" s="2" t="str">
        <f t="array" ref="N115">IFERROR(INDEX(A:A,SMALL(IF($I$2:$I$450="ERROR", ROW($A$2:$A$450)),ROW()-1)), "")</f>
        <v/>
      </c>
      <c r="O115" s="2" t="str">
        <f t="array" ref="O115">IFERROR(INDEX(B:B,SMALL(IF($I$2:$I$450="ERROR", ROW($B$2:$B$450)),ROW()-1)), "")</f>
        <v/>
      </c>
      <c r="P115" s="5" t="str">
        <f t="array" ref="P115">IFERROR(INDEX(C:C,SMALL(IF($I$2:$I$450="ERROR", ROW($C$2:$C$450)),ROW()-1)), "")</f>
        <v/>
      </c>
      <c r="Q115" s="5" t="str">
        <f t="array" ref="Q115">IFERROR(INDEX(G:G,SMALL(IF($I$2:$I$450="ERROR", ROW($G$2:$G$450)),ROW()-1)), "")</f>
        <v/>
      </c>
      <c r="R115" s="8" t="str">
        <f t="shared" si="3"/>
        <v/>
      </c>
    </row>
    <row r="116" spans="1:18" x14ac:dyDescent="0.45">
      <c r="A116" s="3" t="s">
        <v>537</v>
      </c>
      <c r="B116" s="1" t="s">
        <v>116</v>
      </c>
      <c r="C116" s="5">
        <v>0.01</v>
      </c>
      <c r="D116" s="4">
        <v>3225</v>
      </c>
      <c r="E116" s="4">
        <v>3225</v>
      </c>
      <c r="F116" s="4">
        <v>3220</v>
      </c>
      <c r="G116" s="5">
        <v>1.5503875968992248E-3</v>
      </c>
      <c r="H116" s="6"/>
      <c r="I116" s="2" t="str">
        <f t="shared" si="2"/>
        <v>-</v>
      </c>
      <c r="J116" s="1" t="str">
        <f>IF(I116="ERROR",BeepMe(),"")</f>
        <v/>
      </c>
      <c r="M116" s="2" t="str">
        <f t="array" ref="M116">IFERROR(INDEX(I:I,SMALL(IF($I$2:$I$450="ERROR", ROW($I$2:$I$450)),ROW()-1)), "")</f>
        <v/>
      </c>
      <c r="N116" s="2" t="str">
        <f t="array" ref="N116">IFERROR(INDEX(A:A,SMALL(IF($I$2:$I$450="ERROR", ROW($A$2:$A$450)),ROW()-1)), "")</f>
        <v/>
      </c>
      <c r="O116" s="2" t="str">
        <f t="array" ref="O116">IFERROR(INDEX(B:B,SMALL(IF($I$2:$I$450="ERROR", ROW($B$2:$B$450)),ROW()-1)), "")</f>
        <v/>
      </c>
      <c r="P116" s="5" t="str">
        <f t="array" ref="P116">IFERROR(INDEX(C:C,SMALL(IF($I$2:$I$450="ERROR", ROW($C$2:$C$450)),ROW()-1)), "")</f>
        <v/>
      </c>
      <c r="Q116" s="5" t="str">
        <f t="array" ref="Q116">IFERROR(INDEX(G:G,SMALL(IF($I$2:$I$450="ERROR", ROW($G$2:$G$450)),ROW()-1)), "")</f>
        <v/>
      </c>
      <c r="R116" s="8" t="str">
        <f t="shared" si="3"/>
        <v/>
      </c>
    </row>
    <row r="117" spans="1:18" x14ac:dyDescent="0.45">
      <c r="A117" s="3" t="s">
        <v>538</v>
      </c>
      <c r="B117" s="1" t="s">
        <v>117</v>
      </c>
      <c r="C117" s="5">
        <v>0.02</v>
      </c>
      <c r="D117" s="4">
        <v>8045</v>
      </c>
      <c r="E117" s="4">
        <v>8045</v>
      </c>
      <c r="F117" s="4">
        <v>8040</v>
      </c>
      <c r="G117" s="5">
        <v>6.215040397762585E-4</v>
      </c>
      <c r="H117" s="6"/>
      <c r="I117" s="2" t="str">
        <f t="shared" si="2"/>
        <v>-</v>
      </c>
      <c r="J117" s="1" t="str">
        <f>IF(I117="ERROR",BeepMe(),"")</f>
        <v/>
      </c>
      <c r="M117" s="2" t="str">
        <f t="array" ref="M117">IFERROR(INDEX(I:I,SMALL(IF($I$2:$I$450="ERROR", ROW($I$2:$I$450)),ROW()-1)), "")</f>
        <v/>
      </c>
      <c r="N117" s="2" t="str">
        <f t="array" ref="N117">IFERROR(INDEX(A:A,SMALL(IF($I$2:$I$450="ERROR", ROW($A$2:$A$450)),ROW()-1)), "")</f>
        <v/>
      </c>
      <c r="O117" s="2" t="str">
        <f t="array" ref="O117">IFERROR(INDEX(B:B,SMALL(IF($I$2:$I$450="ERROR", ROW($B$2:$B$450)),ROW()-1)), "")</f>
        <v/>
      </c>
      <c r="P117" s="5" t="str">
        <f t="array" ref="P117">IFERROR(INDEX(C:C,SMALL(IF($I$2:$I$450="ERROR", ROW($C$2:$C$450)),ROW()-1)), "")</f>
        <v/>
      </c>
      <c r="Q117" s="5" t="str">
        <f t="array" ref="Q117">IFERROR(INDEX(G:G,SMALL(IF($I$2:$I$450="ERROR", ROW($G$2:$G$450)),ROW()-1)), "")</f>
        <v/>
      </c>
      <c r="R117" s="8" t="str">
        <f t="shared" si="3"/>
        <v/>
      </c>
    </row>
    <row r="118" spans="1:18" x14ac:dyDescent="0.45">
      <c r="A118" s="3" t="s">
        <v>539</v>
      </c>
      <c r="B118" s="1" t="s">
        <v>118</v>
      </c>
      <c r="C118" s="5">
        <v>0.01</v>
      </c>
      <c r="D118" s="4">
        <v>23640</v>
      </c>
      <c r="E118" s="4">
        <v>23640</v>
      </c>
      <c r="F118" s="4">
        <v>23575</v>
      </c>
      <c r="G118" s="5">
        <v>2.7495769881556685E-3</v>
      </c>
      <c r="H118" s="6"/>
      <c r="I118" s="2" t="str">
        <f t="shared" si="2"/>
        <v>-</v>
      </c>
      <c r="J118" s="1" t="str">
        <f>IF(I118="ERROR",BeepMe(),"")</f>
        <v/>
      </c>
      <c r="M118" s="2" t="str">
        <f t="array" ref="M118">IFERROR(INDEX(I:I,SMALL(IF($I$2:$I$450="ERROR", ROW($I$2:$I$450)),ROW()-1)), "")</f>
        <v/>
      </c>
      <c r="N118" s="2" t="str">
        <f t="array" ref="N118">IFERROR(INDEX(A:A,SMALL(IF($I$2:$I$450="ERROR", ROW($A$2:$A$450)),ROW()-1)), "")</f>
        <v/>
      </c>
      <c r="O118" s="2" t="str">
        <f t="array" ref="O118">IFERROR(INDEX(B:B,SMALL(IF($I$2:$I$450="ERROR", ROW($B$2:$B$450)),ROW()-1)), "")</f>
        <v/>
      </c>
      <c r="P118" s="5" t="str">
        <f t="array" ref="P118">IFERROR(INDEX(C:C,SMALL(IF($I$2:$I$450="ERROR", ROW($C$2:$C$450)),ROW()-1)), "")</f>
        <v/>
      </c>
      <c r="Q118" s="5" t="str">
        <f t="array" ref="Q118">IFERROR(INDEX(G:G,SMALL(IF($I$2:$I$450="ERROR", ROW($G$2:$G$450)),ROW()-1)), "")</f>
        <v/>
      </c>
      <c r="R118" s="8" t="str">
        <f t="shared" si="3"/>
        <v/>
      </c>
    </row>
    <row r="119" spans="1:18" x14ac:dyDescent="0.45">
      <c r="A119" s="3" t="s">
        <v>540</v>
      </c>
      <c r="B119" s="1" t="s">
        <v>119</v>
      </c>
      <c r="C119" s="5">
        <v>0.01</v>
      </c>
      <c r="D119" s="4">
        <v>21280</v>
      </c>
      <c r="E119" s="4">
        <v>21280</v>
      </c>
      <c r="F119" s="4">
        <v>21275</v>
      </c>
      <c r="G119" s="5">
        <v>2.3496240601503758E-4</v>
      </c>
      <c r="H119" s="6"/>
      <c r="I119" s="2" t="str">
        <f t="shared" si="2"/>
        <v>-</v>
      </c>
      <c r="J119" s="1" t="str">
        <f>IF(I119="ERROR",BeepMe(),"")</f>
        <v/>
      </c>
      <c r="M119" s="2" t="str">
        <f t="array" ref="M119">IFERROR(INDEX(I:I,SMALL(IF($I$2:$I$450="ERROR", ROW($I$2:$I$450)),ROW()-1)), "")</f>
        <v/>
      </c>
      <c r="N119" s="2" t="str">
        <f t="array" ref="N119">IFERROR(INDEX(A:A,SMALL(IF($I$2:$I$450="ERROR", ROW($A$2:$A$450)),ROW()-1)), "")</f>
        <v/>
      </c>
      <c r="O119" s="2" t="str">
        <f t="array" ref="O119">IFERROR(INDEX(B:B,SMALL(IF($I$2:$I$450="ERROR", ROW($B$2:$B$450)),ROW()-1)), "")</f>
        <v/>
      </c>
      <c r="P119" s="5" t="str">
        <f t="array" ref="P119">IFERROR(INDEX(C:C,SMALL(IF($I$2:$I$450="ERROR", ROW($C$2:$C$450)),ROW()-1)), "")</f>
        <v/>
      </c>
      <c r="Q119" s="5" t="str">
        <f t="array" ref="Q119">IFERROR(INDEX(G:G,SMALL(IF($I$2:$I$450="ERROR", ROW($G$2:$G$450)),ROW()-1)), "")</f>
        <v/>
      </c>
      <c r="R119" s="8" t="str">
        <f t="shared" si="3"/>
        <v/>
      </c>
    </row>
    <row r="120" spans="1:18" x14ac:dyDescent="0.45">
      <c r="A120" s="3" t="s">
        <v>541</v>
      </c>
      <c r="B120" s="1" t="s">
        <v>120</v>
      </c>
      <c r="C120" s="5">
        <v>0.01</v>
      </c>
      <c r="D120" s="4">
        <v>10485</v>
      </c>
      <c r="E120" s="4">
        <v>10485</v>
      </c>
      <c r="F120" s="4">
        <v>10460</v>
      </c>
      <c r="G120" s="5">
        <v>2.384358607534573E-3</v>
      </c>
      <c r="H120" s="6"/>
      <c r="I120" s="2" t="str">
        <f t="shared" si="2"/>
        <v>-</v>
      </c>
      <c r="J120" s="1" t="str">
        <f>IF(I120="ERROR",BeepMe(),"")</f>
        <v/>
      </c>
      <c r="M120" s="2" t="str">
        <f t="array" ref="M120">IFERROR(INDEX(I:I,SMALL(IF($I$2:$I$450="ERROR", ROW($I$2:$I$450)),ROW()-1)), "")</f>
        <v/>
      </c>
      <c r="N120" s="2" t="str">
        <f t="array" ref="N120">IFERROR(INDEX(A:A,SMALL(IF($I$2:$I$450="ERROR", ROW($A$2:$A$450)),ROW()-1)), "")</f>
        <v/>
      </c>
      <c r="O120" s="2" t="str">
        <f t="array" ref="O120">IFERROR(INDEX(B:B,SMALL(IF($I$2:$I$450="ERROR", ROW($B$2:$B$450)),ROW()-1)), "")</f>
        <v/>
      </c>
      <c r="P120" s="5" t="str">
        <f t="array" ref="P120">IFERROR(INDEX(C:C,SMALL(IF($I$2:$I$450="ERROR", ROW($C$2:$C$450)),ROW()-1)), "")</f>
        <v/>
      </c>
      <c r="Q120" s="5" t="str">
        <f t="array" ref="Q120">IFERROR(INDEX(G:G,SMALL(IF($I$2:$I$450="ERROR", ROW($G$2:$G$450)),ROW()-1)), "")</f>
        <v/>
      </c>
      <c r="R120" s="8" t="str">
        <f t="shared" si="3"/>
        <v/>
      </c>
    </row>
    <row r="121" spans="1:18" x14ac:dyDescent="0.45">
      <c r="A121" s="3" t="s">
        <v>542</v>
      </c>
      <c r="B121" s="1" t="s">
        <v>121</v>
      </c>
      <c r="C121" s="5">
        <v>0.01</v>
      </c>
      <c r="D121" s="4">
        <v>3720</v>
      </c>
      <c r="E121" s="4">
        <v>3720</v>
      </c>
      <c r="F121" s="4">
        <v>3710</v>
      </c>
      <c r="G121" s="5">
        <v>2.6881720430107529E-3</v>
      </c>
      <c r="H121" s="6"/>
      <c r="I121" s="2" t="str">
        <f t="shared" si="2"/>
        <v>-</v>
      </c>
      <c r="J121" s="1" t="str">
        <f>IF(I121="ERROR",BeepMe(),"")</f>
        <v/>
      </c>
      <c r="M121" s="2" t="str">
        <f t="array" ref="M121">IFERROR(INDEX(I:I,SMALL(IF($I$2:$I$450="ERROR", ROW($I$2:$I$450)),ROW()-1)), "")</f>
        <v/>
      </c>
      <c r="N121" s="2" t="str">
        <f t="array" ref="N121">IFERROR(INDEX(A:A,SMALL(IF($I$2:$I$450="ERROR", ROW($A$2:$A$450)),ROW()-1)), "")</f>
        <v/>
      </c>
      <c r="O121" s="2" t="str">
        <f t="array" ref="O121">IFERROR(INDEX(B:B,SMALL(IF($I$2:$I$450="ERROR", ROW($B$2:$B$450)),ROW()-1)), "")</f>
        <v/>
      </c>
      <c r="P121" s="5" t="str">
        <f t="array" ref="P121">IFERROR(INDEX(C:C,SMALL(IF($I$2:$I$450="ERROR", ROW($C$2:$C$450)),ROW()-1)), "")</f>
        <v/>
      </c>
      <c r="Q121" s="5" t="str">
        <f t="array" ref="Q121">IFERROR(INDEX(G:G,SMALL(IF($I$2:$I$450="ERROR", ROW($G$2:$G$450)),ROW()-1)), "")</f>
        <v/>
      </c>
      <c r="R121" s="8" t="str">
        <f t="shared" si="3"/>
        <v/>
      </c>
    </row>
    <row r="122" spans="1:18" x14ac:dyDescent="0.45">
      <c r="A122" s="3" t="s">
        <v>543</v>
      </c>
      <c r="B122" s="1" t="s">
        <v>122</v>
      </c>
      <c r="C122" s="5">
        <v>0.02</v>
      </c>
      <c r="D122" s="4">
        <v>31830</v>
      </c>
      <c r="E122" s="4">
        <v>31835</v>
      </c>
      <c r="F122" s="4">
        <v>31830</v>
      </c>
      <c r="G122" s="5">
        <v>1.5708451146716933E-4</v>
      </c>
      <c r="H122" s="6"/>
      <c r="I122" s="2" t="str">
        <f t="shared" si="2"/>
        <v>-</v>
      </c>
      <c r="J122" s="1" t="str">
        <f>IF(I122="ERROR",BeepMe(),"")</f>
        <v/>
      </c>
      <c r="M122" s="2" t="str">
        <f t="array" ref="M122">IFERROR(INDEX(I:I,SMALL(IF($I$2:$I$450="ERROR", ROW($I$2:$I$450)),ROW()-1)), "")</f>
        <v/>
      </c>
      <c r="N122" s="2" t="str">
        <f t="array" ref="N122">IFERROR(INDEX(A:A,SMALL(IF($I$2:$I$450="ERROR", ROW($A$2:$A$450)),ROW()-1)), "")</f>
        <v/>
      </c>
      <c r="O122" s="2" t="str">
        <f t="array" ref="O122">IFERROR(INDEX(B:B,SMALL(IF($I$2:$I$450="ERROR", ROW($B$2:$B$450)),ROW()-1)), "")</f>
        <v/>
      </c>
      <c r="P122" s="5" t="str">
        <f t="array" ref="P122">IFERROR(INDEX(C:C,SMALL(IF($I$2:$I$450="ERROR", ROW($C$2:$C$450)),ROW()-1)), "")</f>
        <v/>
      </c>
      <c r="Q122" s="5" t="str">
        <f t="array" ref="Q122">IFERROR(INDEX(G:G,SMALL(IF($I$2:$I$450="ERROR", ROW($G$2:$G$450)),ROW()-1)), "")</f>
        <v/>
      </c>
      <c r="R122" s="8" t="str">
        <f t="shared" si="3"/>
        <v/>
      </c>
    </row>
    <row r="123" spans="1:18" x14ac:dyDescent="0.45">
      <c r="A123" s="3" t="s">
        <v>544</v>
      </c>
      <c r="B123" s="1" t="s">
        <v>123</v>
      </c>
      <c r="C123" s="5">
        <v>0.02</v>
      </c>
      <c r="D123" s="4">
        <v>8205</v>
      </c>
      <c r="E123" s="4">
        <v>8305</v>
      </c>
      <c r="F123" s="4">
        <v>8205</v>
      </c>
      <c r="G123" s="5">
        <v>1.2187690432663011E-2</v>
      </c>
      <c r="H123" s="6"/>
      <c r="I123" s="2" t="str">
        <f t="shared" si="2"/>
        <v>-</v>
      </c>
      <c r="J123" s="1" t="str">
        <f>IF(I123="ERROR",BeepMe(),"")</f>
        <v/>
      </c>
      <c r="M123" s="2" t="str">
        <f t="array" ref="M123">IFERROR(INDEX(I:I,SMALL(IF($I$2:$I$450="ERROR", ROW($I$2:$I$450)),ROW()-1)), "")</f>
        <v/>
      </c>
      <c r="N123" s="2" t="str">
        <f t="array" ref="N123">IFERROR(INDEX(A:A,SMALL(IF($I$2:$I$450="ERROR", ROW($A$2:$A$450)),ROW()-1)), "")</f>
        <v/>
      </c>
      <c r="O123" s="2" t="str">
        <f t="array" ref="O123">IFERROR(INDEX(B:B,SMALL(IF($I$2:$I$450="ERROR", ROW($B$2:$B$450)),ROW()-1)), "")</f>
        <v/>
      </c>
      <c r="P123" s="5" t="str">
        <f t="array" ref="P123">IFERROR(INDEX(C:C,SMALL(IF($I$2:$I$450="ERROR", ROW($C$2:$C$450)),ROW()-1)), "")</f>
        <v/>
      </c>
      <c r="Q123" s="5" t="str">
        <f t="array" ref="Q123">IFERROR(INDEX(G:G,SMALL(IF($I$2:$I$450="ERROR", ROW($G$2:$G$450)),ROW()-1)), "")</f>
        <v/>
      </c>
      <c r="R123" s="8" t="str">
        <f t="shared" si="3"/>
        <v/>
      </c>
    </row>
    <row r="124" spans="1:18" x14ac:dyDescent="0.45">
      <c r="A124" s="3" t="s">
        <v>545</v>
      </c>
      <c r="B124" s="1" t="s">
        <v>124</v>
      </c>
      <c r="C124" s="5">
        <v>0.02</v>
      </c>
      <c r="D124" s="4">
        <v>10205</v>
      </c>
      <c r="E124" s="4">
        <v>10205</v>
      </c>
      <c r="F124" s="4">
        <v>10200</v>
      </c>
      <c r="G124" s="5">
        <v>4.8995590396864281E-4</v>
      </c>
      <c r="H124" s="6"/>
      <c r="I124" s="2" t="str">
        <f t="shared" si="2"/>
        <v>-</v>
      </c>
      <c r="J124" s="1" t="str">
        <f>IF(I124="ERROR",BeepMe(),"")</f>
        <v/>
      </c>
      <c r="M124" s="2" t="str">
        <f t="array" ref="M124">IFERROR(INDEX(I:I,SMALL(IF($I$2:$I$450="ERROR", ROW($I$2:$I$450)),ROW()-1)), "")</f>
        <v/>
      </c>
      <c r="N124" s="2" t="str">
        <f t="array" ref="N124">IFERROR(INDEX(A:A,SMALL(IF($I$2:$I$450="ERROR", ROW($A$2:$A$450)),ROW()-1)), "")</f>
        <v/>
      </c>
      <c r="O124" s="2" t="str">
        <f t="array" ref="O124">IFERROR(INDEX(B:B,SMALL(IF($I$2:$I$450="ERROR", ROW($B$2:$B$450)),ROW()-1)), "")</f>
        <v/>
      </c>
      <c r="P124" s="5" t="str">
        <f t="array" ref="P124">IFERROR(INDEX(C:C,SMALL(IF($I$2:$I$450="ERROR", ROW($C$2:$C$450)),ROW()-1)), "")</f>
        <v/>
      </c>
      <c r="Q124" s="5" t="str">
        <f t="array" ref="Q124">IFERROR(INDEX(G:G,SMALL(IF($I$2:$I$450="ERROR", ROW($G$2:$G$450)),ROW()-1)), "")</f>
        <v/>
      </c>
      <c r="R124" s="8" t="str">
        <f t="shared" si="3"/>
        <v/>
      </c>
    </row>
    <row r="125" spans="1:18" x14ac:dyDescent="0.45">
      <c r="A125" s="3" t="s">
        <v>546</v>
      </c>
      <c r="B125" s="1" t="s">
        <v>125</v>
      </c>
      <c r="C125" s="5">
        <v>0.02</v>
      </c>
      <c r="D125" s="4">
        <v>19690</v>
      </c>
      <c r="E125" s="4">
        <v>19690</v>
      </c>
      <c r="F125" s="4">
        <v>19660</v>
      </c>
      <c r="G125" s="5">
        <v>1.5236160487557136E-3</v>
      </c>
      <c r="H125" s="6"/>
      <c r="I125" s="2" t="str">
        <f t="shared" si="2"/>
        <v>-</v>
      </c>
      <c r="J125" s="1" t="str">
        <f>IF(I125="ERROR",BeepMe(),"")</f>
        <v/>
      </c>
      <c r="M125" s="2" t="str">
        <f t="array" ref="M125">IFERROR(INDEX(I:I,SMALL(IF($I$2:$I$450="ERROR", ROW($I$2:$I$450)),ROW()-1)), "")</f>
        <v/>
      </c>
      <c r="N125" s="2" t="str">
        <f t="array" ref="N125">IFERROR(INDEX(A:A,SMALL(IF($I$2:$I$450="ERROR", ROW($A$2:$A$450)),ROW()-1)), "")</f>
        <v/>
      </c>
      <c r="O125" s="2" t="str">
        <f t="array" ref="O125">IFERROR(INDEX(B:B,SMALL(IF($I$2:$I$450="ERROR", ROW($B$2:$B$450)),ROW()-1)), "")</f>
        <v/>
      </c>
      <c r="P125" s="5" t="str">
        <f t="array" ref="P125">IFERROR(INDEX(C:C,SMALL(IF($I$2:$I$450="ERROR", ROW($C$2:$C$450)),ROW()-1)), "")</f>
        <v/>
      </c>
      <c r="Q125" s="5" t="str">
        <f t="array" ref="Q125">IFERROR(INDEX(G:G,SMALL(IF($I$2:$I$450="ERROR", ROW($G$2:$G$450)),ROW()-1)), "")</f>
        <v/>
      </c>
      <c r="R125" s="8" t="str">
        <f t="shared" si="3"/>
        <v/>
      </c>
    </row>
    <row r="126" spans="1:18" x14ac:dyDescent="0.45">
      <c r="A126" s="3" t="s">
        <v>547</v>
      </c>
      <c r="B126" s="1" t="s">
        <v>126</v>
      </c>
      <c r="C126" s="5">
        <v>1.4999999999999999E-2</v>
      </c>
      <c r="D126" s="4">
        <v>10275</v>
      </c>
      <c r="E126" s="4">
        <v>10280</v>
      </c>
      <c r="F126" s="4">
        <v>10275</v>
      </c>
      <c r="G126" s="5">
        <v>4.8661800486618007E-4</v>
      </c>
      <c r="H126" s="6"/>
      <c r="I126" s="2" t="str">
        <f t="shared" si="2"/>
        <v>-</v>
      </c>
      <c r="J126" s="1" t="str">
        <f>IF(I126="ERROR",BeepMe(),"")</f>
        <v/>
      </c>
      <c r="M126" s="2" t="str">
        <f t="array" ref="M126">IFERROR(INDEX(I:I,SMALL(IF($I$2:$I$450="ERROR", ROW($I$2:$I$450)),ROW()-1)), "")</f>
        <v/>
      </c>
      <c r="N126" s="2" t="str">
        <f t="array" ref="N126">IFERROR(INDEX(A:A,SMALL(IF($I$2:$I$450="ERROR", ROW($A$2:$A$450)),ROW()-1)), "")</f>
        <v/>
      </c>
      <c r="O126" s="2" t="str">
        <f t="array" ref="O126">IFERROR(INDEX(B:B,SMALL(IF($I$2:$I$450="ERROR", ROW($B$2:$B$450)),ROW()-1)), "")</f>
        <v/>
      </c>
      <c r="P126" s="5" t="str">
        <f t="array" ref="P126">IFERROR(INDEX(C:C,SMALL(IF($I$2:$I$450="ERROR", ROW($C$2:$C$450)),ROW()-1)), "")</f>
        <v/>
      </c>
      <c r="Q126" s="5" t="str">
        <f t="array" ref="Q126">IFERROR(INDEX(G:G,SMALL(IF($I$2:$I$450="ERROR", ROW($G$2:$G$450)),ROW()-1)), "")</f>
        <v/>
      </c>
      <c r="R126" s="8" t="str">
        <f t="shared" si="3"/>
        <v/>
      </c>
    </row>
    <row r="127" spans="1:18" x14ac:dyDescent="0.45">
      <c r="A127" s="3" t="s">
        <v>548</v>
      </c>
      <c r="B127" s="1" t="s">
        <v>127</v>
      </c>
      <c r="C127" s="5">
        <v>0.01</v>
      </c>
      <c r="D127" s="4">
        <v>27630</v>
      </c>
      <c r="E127" s="4">
        <v>27650</v>
      </c>
      <c r="F127" s="4">
        <v>27630</v>
      </c>
      <c r="G127" s="5">
        <v>7.2385088671733622E-4</v>
      </c>
      <c r="H127" s="6"/>
      <c r="I127" s="2" t="str">
        <f t="shared" si="2"/>
        <v>-</v>
      </c>
      <c r="J127" s="1" t="str">
        <f>IF(I127="ERROR",BeepMe(),"")</f>
        <v/>
      </c>
      <c r="M127" s="2" t="str">
        <f t="array" ref="M127">IFERROR(INDEX(I:I,SMALL(IF($I$2:$I$450="ERROR", ROW($I$2:$I$450)),ROW()-1)), "")</f>
        <v/>
      </c>
      <c r="N127" s="2" t="str">
        <f t="array" ref="N127">IFERROR(INDEX(A:A,SMALL(IF($I$2:$I$450="ERROR", ROW($A$2:$A$450)),ROW()-1)), "")</f>
        <v/>
      </c>
      <c r="O127" s="2" t="str">
        <f t="array" ref="O127">IFERROR(INDEX(B:B,SMALL(IF($I$2:$I$450="ERROR", ROW($B$2:$B$450)),ROW()-1)), "")</f>
        <v/>
      </c>
      <c r="P127" s="5" t="str">
        <f t="array" ref="P127">IFERROR(INDEX(C:C,SMALL(IF($I$2:$I$450="ERROR", ROW($C$2:$C$450)),ROW()-1)), "")</f>
        <v/>
      </c>
      <c r="Q127" s="5" t="str">
        <f t="array" ref="Q127">IFERROR(INDEX(G:G,SMALL(IF($I$2:$I$450="ERROR", ROW($G$2:$G$450)),ROW()-1)), "")</f>
        <v/>
      </c>
      <c r="R127" s="8" t="str">
        <f t="shared" si="3"/>
        <v/>
      </c>
    </row>
    <row r="128" spans="1:18" x14ac:dyDescent="0.45">
      <c r="A128" s="3" t="s">
        <v>549</v>
      </c>
      <c r="B128" s="1" t="s">
        <v>128</v>
      </c>
      <c r="C128" s="5">
        <v>0.01</v>
      </c>
      <c r="D128" s="4">
        <v>13440</v>
      </c>
      <c r="E128" s="4">
        <v>13440</v>
      </c>
      <c r="F128" s="4">
        <v>13400</v>
      </c>
      <c r="G128" s="5">
        <v>2.976190476190476E-3</v>
      </c>
      <c r="H128" s="6"/>
      <c r="I128" s="2" t="str">
        <f t="shared" si="2"/>
        <v>-</v>
      </c>
      <c r="J128" s="1" t="str">
        <f>IF(I128="ERROR",BeepMe(),"")</f>
        <v/>
      </c>
      <c r="M128" s="2" t="str">
        <f t="array" ref="M128">IFERROR(INDEX(I:I,SMALL(IF($I$2:$I$450="ERROR", ROW($I$2:$I$450)),ROW()-1)), "")</f>
        <v/>
      </c>
      <c r="N128" s="2" t="str">
        <f t="array" ref="N128">IFERROR(INDEX(A:A,SMALL(IF($I$2:$I$450="ERROR", ROW($A$2:$A$450)),ROW()-1)), "")</f>
        <v/>
      </c>
      <c r="O128" s="2" t="str">
        <f t="array" ref="O128">IFERROR(INDEX(B:B,SMALL(IF($I$2:$I$450="ERROR", ROW($B$2:$B$450)),ROW()-1)), "")</f>
        <v/>
      </c>
      <c r="P128" s="5" t="str">
        <f t="array" ref="P128">IFERROR(INDEX(C:C,SMALL(IF($I$2:$I$450="ERROR", ROW($C$2:$C$450)),ROW()-1)), "")</f>
        <v/>
      </c>
      <c r="Q128" s="5" t="str">
        <f t="array" ref="Q128">IFERROR(INDEX(G:G,SMALL(IF($I$2:$I$450="ERROR", ROW($G$2:$G$450)),ROW()-1)), "")</f>
        <v/>
      </c>
      <c r="R128" s="8" t="str">
        <f t="shared" si="3"/>
        <v/>
      </c>
    </row>
    <row r="129" spans="1:18" x14ac:dyDescent="0.45">
      <c r="A129" s="3" t="s">
        <v>550</v>
      </c>
      <c r="B129" s="1" t="s">
        <v>129</v>
      </c>
      <c r="C129" s="5">
        <v>0.01</v>
      </c>
      <c r="D129" s="4">
        <v>19405</v>
      </c>
      <c r="E129" s="4">
        <v>19405</v>
      </c>
      <c r="F129" s="4">
        <v>19400</v>
      </c>
      <c r="G129" s="5">
        <v>2.576655501159495E-4</v>
      </c>
      <c r="H129" s="6"/>
      <c r="I129" s="2" t="str">
        <f t="shared" si="2"/>
        <v>-</v>
      </c>
      <c r="J129" s="1" t="str">
        <f>IF(I129="ERROR",BeepMe(),"")</f>
        <v/>
      </c>
      <c r="M129" s="2" t="str">
        <f t="array" ref="M129">IFERROR(INDEX(I:I,SMALL(IF($I$2:$I$450="ERROR", ROW($I$2:$I$450)),ROW()-1)), "")</f>
        <v/>
      </c>
      <c r="N129" s="2" t="str">
        <f t="array" ref="N129">IFERROR(INDEX(A:A,SMALL(IF($I$2:$I$450="ERROR", ROW($A$2:$A$450)),ROW()-1)), "")</f>
        <v/>
      </c>
      <c r="O129" s="2" t="str">
        <f t="array" ref="O129">IFERROR(INDEX(B:B,SMALL(IF($I$2:$I$450="ERROR", ROW($B$2:$B$450)),ROW()-1)), "")</f>
        <v/>
      </c>
      <c r="P129" s="5" t="str">
        <f t="array" ref="P129">IFERROR(INDEX(C:C,SMALL(IF($I$2:$I$450="ERROR", ROW($C$2:$C$450)),ROW()-1)), "")</f>
        <v/>
      </c>
      <c r="Q129" s="5" t="str">
        <f t="array" ref="Q129">IFERROR(INDEX(G:G,SMALL(IF($I$2:$I$450="ERROR", ROW($G$2:$G$450)),ROW()-1)), "")</f>
        <v/>
      </c>
      <c r="R129" s="8" t="str">
        <f t="shared" si="3"/>
        <v/>
      </c>
    </row>
    <row r="130" spans="1:18" x14ac:dyDescent="0.45">
      <c r="A130" s="3" t="s">
        <v>551</v>
      </c>
      <c r="B130" s="1" t="s">
        <v>130</v>
      </c>
      <c r="C130" s="5">
        <v>0.01</v>
      </c>
      <c r="D130" s="4">
        <v>6485</v>
      </c>
      <c r="E130" s="4">
        <v>6490</v>
      </c>
      <c r="F130" s="4">
        <v>6475</v>
      </c>
      <c r="G130" s="5">
        <v>2.3130300693909021E-3</v>
      </c>
      <c r="H130" s="6"/>
      <c r="I130" s="2" t="str">
        <f t="shared" si="2"/>
        <v>-</v>
      </c>
      <c r="J130" s="1" t="str">
        <f>IF(I130="ERROR",BeepMe(),"")</f>
        <v/>
      </c>
      <c r="M130" s="2" t="str">
        <f t="array" ref="M130">IFERROR(INDEX(I:I,SMALL(IF($I$2:$I$450="ERROR", ROW($I$2:$I$450)),ROW()-1)), "")</f>
        <v/>
      </c>
      <c r="N130" s="2" t="str">
        <f t="array" ref="N130">IFERROR(INDEX(A:A,SMALL(IF($I$2:$I$450="ERROR", ROW($A$2:$A$450)),ROW()-1)), "")</f>
        <v/>
      </c>
      <c r="O130" s="2" t="str">
        <f t="array" ref="O130">IFERROR(INDEX(B:B,SMALL(IF($I$2:$I$450="ERROR", ROW($B$2:$B$450)),ROW()-1)), "")</f>
        <v/>
      </c>
      <c r="P130" s="5" t="str">
        <f t="array" ref="P130">IFERROR(INDEX(C:C,SMALL(IF($I$2:$I$450="ERROR", ROW($C$2:$C$450)),ROW()-1)), "")</f>
        <v/>
      </c>
      <c r="Q130" s="5" t="str">
        <f t="array" ref="Q130">IFERROR(INDEX(G:G,SMALL(IF($I$2:$I$450="ERROR", ROW($G$2:$G$450)),ROW()-1)), "")</f>
        <v/>
      </c>
      <c r="R130" s="8" t="str">
        <f t="shared" si="3"/>
        <v/>
      </c>
    </row>
    <row r="131" spans="1:18" x14ac:dyDescent="0.45">
      <c r="A131" s="3" t="s">
        <v>552</v>
      </c>
      <c r="B131" s="1" t="s">
        <v>131</v>
      </c>
      <c r="C131" s="5">
        <v>0.01</v>
      </c>
      <c r="D131" s="4">
        <v>9515</v>
      </c>
      <c r="E131" s="4">
        <v>9550</v>
      </c>
      <c r="F131" s="4">
        <v>9515</v>
      </c>
      <c r="G131" s="5">
        <v>3.6784025223331584E-3</v>
      </c>
      <c r="H131" s="6"/>
      <c r="I131" s="2" t="str">
        <f t="shared" ref="I131:I194" si="4">IF(G131&gt;C131, "ERROR", "-")</f>
        <v>-</v>
      </c>
      <c r="J131" s="1" t="str">
        <f>IF(I131="ERROR",BeepMe(),"")</f>
        <v/>
      </c>
      <c r="M131" s="2" t="str">
        <f t="array" ref="M131">IFERROR(INDEX(I:I,SMALL(IF($I$2:$I$450="ERROR", ROW($I$2:$I$450)),ROW()-1)), "")</f>
        <v/>
      </c>
      <c r="N131" s="2" t="str">
        <f t="array" ref="N131">IFERROR(INDEX(A:A,SMALL(IF($I$2:$I$450="ERROR", ROW($A$2:$A$450)),ROW()-1)), "")</f>
        <v/>
      </c>
      <c r="O131" s="2" t="str">
        <f t="array" ref="O131">IFERROR(INDEX(B:B,SMALL(IF($I$2:$I$450="ERROR", ROW($B$2:$B$450)),ROW()-1)), "")</f>
        <v/>
      </c>
      <c r="P131" s="5" t="str">
        <f t="array" ref="P131">IFERROR(INDEX(C:C,SMALL(IF($I$2:$I$450="ERROR", ROW($C$2:$C$450)),ROW()-1)), "")</f>
        <v/>
      </c>
      <c r="Q131" s="5" t="str">
        <f t="array" ref="Q131">IFERROR(INDEX(G:G,SMALL(IF($I$2:$I$450="ERROR", ROW($G$2:$G$450)),ROW()-1)), "")</f>
        <v/>
      </c>
      <c r="R131" s="8" t="str">
        <f t="shared" ref="R131:R194" si="5">IFERROR(Q131-P131,"")</f>
        <v/>
      </c>
    </row>
    <row r="132" spans="1:18" x14ac:dyDescent="0.45">
      <c r="A132" s="3" t="s">
        <v>553</v>
      </c>
      <c r="B132" s="1" t="s">
        <v>132</v>
      </c>
      <c r="C132" s="5">
        <v>0.01</v>
      </c>
      <c r="D132" s="4">
        <v>12000</v>
      </c>
      <c r="E132" s="4">
        <v>12000</v>
      </c>
      <c r="F132" s="4">
        <v>11980</v>
      </c>
      <c r="G132" s="5">
        <v>1.6666666666666668E-3</v>
      </c>
      <c r="H132" s="6"/>
      <c r="I132" s="2" t="str">
        <f t="shared" si="4"/>
        <v>-</v>
      </c>
      <c r="J132" s="1" t="str">
        <f>IF(I132="ERROR",BeepMe(),"")</f>
        <v/>
      </c>
      <c r="M132" s="2" t="str">
        <f t="array" ref="M132">IFERROR(INDEX(I:I,SMALL(IF($I$2:$I$450="ERROR", ROW($I$2:$I$450)),ROW()-1)), "")</f>
        <v/>
      </c>
      <c r="N132" s="2" t="str">
        <f t="array" ref="N132">IFERROR(INDEX(A:A,SMALL(IF($I$2:$I$450="ERROR", ROW($A$2:$A$450)),ROW()-1)), "")</f>
        <v/>
      </c>
      <c r="O132" s="2" t="str">
        <f t="array" ref="O132">IFERROR(INDEX(B:B,SMALL(IF($I$2:$I$450="ERROR", ROW($B$2:$B$450)),ROW()-1)), "")</f>
        <v/>
      </c>
      <c r="P132" s="5" t="str">
        <f t="array" ref="P132">IFERROR(INDEX(C:C,SMALL(IF($I$2:$I$450="ERROR", ROW($C$2:$C$450)),ROW()-1)), "")</f>
        <v/>
      </c>
      <c r="Q132" s="5" t="str">
        <f t="array" ref="Q132">IFERROR(INDEX(G:G,SMALL(IF($I$2:$I$450="ERROR", ROW($G$2:$G$450)),ROW()-1)), "")</f>
        <v/>
      </c>
      <c r="R132" s="8" t="str">
        <f t="shared" si="5"/>
        <v/>
      </c>
    </row>
    <row r="133" spans="1:18" x14ac:dyDescent="0.45">
      <c r="A133" s="3" t="s">
        <v>554</v>
      </c>
      <c r="B133" s="1" t="s">
        <v>133</v>
      </c>
      <c r="C133" s="5">
        <v>0.01</v>
      </c>
      <c r="D133" s="4">
        <v>28375</v>
      </c>
      <c r="E133" s="4">
        <v>28375</v>
      </c>
      <c r="F133" s="4">
        <v>28330</v>
      </c>
      <c r="G133" s="5">
        <v>1.5859030837004405E-3</v>
      </c>
      <c r="H133" s="6"/>
      <c r="I133" s="2" t="str">
        <f t="shared" si="4"/>
        <v>-</v>
      </c>
      <c r="J133" s="1" t="str">
        <f>IF(I133="ERROR",BeepMe(),"")</f>
        <v/>
      </c>
      <c r="M133" s="2" t="str">
        <f t="array" ref="M133">IFERROR(INDEX(I:I,SMALL(IF($I$2:$I$450="ERROR", ROW($I$2:$I$450)),ROW()-1)), "")</f>
        <v/>
      </c>
      <c r="N133" s="2" t="str">
        <f t="array" ref="N133">IFERROR(INDEX(A:A,SMALL(IF($I$2:$I$450="ERROR", ROW($A$2:$A$450)),ROW()-1)), "")</f>
        <v/>
      </c>
      <c r="O133" s="2" t="str">
        <f t="array" ref="O133">IFERROR(INDEX(B:B,SMALL(IF($I$2:$I$450="ERROR", ROW($B$2:$B$450)),ROW()-1)), "")</f>
        <v/>
      </c>
      <c r="P133" s="5" t="str">
        <f t="array" ref="P133">IFERROR(INDEX(C:C,SMALL(IF($I$2:$I$450="ERROR", ROW($C$2:$C$450)),ROW()-1)), "")</f>
        <v/>
      </c>
      <c r="Q133" s="5" t="str">
        <f t="array" ref="Q133">IFERROR(INDEX(G:G,SMALL(IF($I$2:$I$450="ERROR", ROW($G$2:$G$450)),ROW()-1)), "")</f>
        <v/>
      </c>
      <c r="R133" s="8" t="str">
        <f t="shared" si="5"/>
        <v/>
      </c>
    </row>
    <row r="134" spans="1:18" x14ac:dyDescent="0.45">
      <c r="A134" s="3" t="s">
        <v>555</v>
      </c>
      <c r="B134" s="1" t="s">
        <v>134</v>
      </c>
      <c r="C134" s="5">
        <v>0.01</v>
      </c>
      <c r="D134" s="4">
        <v>2955</v>
      </c>
      <c r="E134" s="4">
        <v>2955</v>
      </c>
      <c r="F134" s="4">
        <v>2950</v>
      </c>
      <c r="G134" s="5">
        <v>1.6920473773265651E-3</v>
      </c>
      <c r="H134" s="6"/>
      <c r="I134" s="2" t="str">
        <f t="shared" si="4"/>
        <v>-</v>
      </c>
      <c r="J134" s="1" t="str">
        <f>IF(I134="ERROR",BeepMe(),"")</f>
        <v/>
      </c>
      <c r="M134" s="2" t="str">
        <f t="array" ref="M134">IFERROR(INDEX(I:I,SMALL(IF($I$2:$I$450="ERROR", ROW($I$2:$I$450)),ROW()-1)), "")</f>
        <v/>
      </c>
      <c r="N134" s="2" t="str">
        <f t="array" ref="N134">IFERROR(INDEX(A:A,SMALL(IF($I$2:$I$450="ERROR", ROW($A$2:$A$450)),ROW()-1)), "")</f>
        <v/>
      </c>
      <c r="O134" s="2" t="str">
        <f t="array" ref="O134">IFERROR(INDEX(B:B,SMALL(IF($I$2:$I$450="ERROR", ROW($B$2:$B$450)),ROW()-1)), "")</f>
        <v/>
      </c>
      <c r="P134" s="5" t="str">
        <f t="array" ref="P134">IFERROR(INDEX(C:C,SMALL(IF($I$2:$I$450="ERROR", ROW($C$2:$C$450)),ROW()-1)), "")</f>
        <v/>
      </c>
      <c r="Q134" s="5" t="str">
        <f t="array" ref="Q134">IFERROR(INDEX(G:G,SMALL(IF($I$2:$I$450="ERROR", ROW($G$2:$G$450)),ROW()-1)), "")</f>
        <v/>
      </c>
      <c r="R134" s="8" t="str">
        <f t="shared" si="5"/>
        <v/>
      </c>
    </row>
    <row r="135" spans="1:18" x14ac:dyDescent="0.45">
      <c r="A135" s="3" t="s">
        <v>556</v>
      </c>
      <c r="B135" s="1" t="s">
        <v>135</v>
      </c>
      <c r="C135" s="5">
        <v>0.01</v>
      </c>
      <c r="D135" s="4">
        <v>5210</v>
      </c>
      <c r="E135" s="4">
        <v>5215</v>
      </c>
      <c r="F135" s="4">
        <v>5210</v>
      </c>
      <c r="G135" s="5">
        <v>9.5969289827255275E-4</v>
      </c>
      <c r="H135" s="6"/>
      <c r="I135" s="2" t="str">
        <f t="shared" si="4"/>
        <v>-</v>
      </c>
      <c r="J135" s="1" t="str">
        <f>IF(I135="ERROR",BeepMe(),"")</f>
        <v/>
      </c>
      <c r="M135" s="2" t="str">
        <f t="array" ref="M135">IFERROR(INDEX(I:I,SMALL(IF($I$2:$I$450="ERROR", ROW($I$2:$I$450)),ROW()-1)), "")</f>
        <v/>
      </c>
      <c r="N135" s="2" t="str">
        <f t="array" ref="N135">IFERROR(INDEX(A:A,SMALL(IF($I$2:$I$450="ERROR", ROW($A$2:$A$450)),ROW()-1)), "")</f>
        <v/>
      </c>
      <c r="O135" s="2" t="str">
        <f t="array" ref="O135">IFERROR(INDEX(B:B,SMALL(IF($I$2:$I$450="ERROR", ROW($B$2:$B$450)),ROW()-1)), "")</f>
        <v/>
      </c>
      <c r="P135" s="5" t="str">
        <f t="array" ref="P135">IFERROR(INDEX(C:C,SMALL(IF($I$2:$I$450="ERROR", ROW($C$2:$C$450)),ROW()-1)), "")</f>
        <v/>
      </c>
      <c r="Q135" s="5" t="str">
        <f t="array" ref="Q135">IFERROR(INDEX(G:G,SMALL(IF($I$2:$I$450="ERROR", ROW($G$2:$G$450)),ROW()-1)), "")</f>
        <v/>
      </c>
      <c r="R135" s="8" t="str">
        <f t="shared" si="5"/>
        <v/>
      </c>
    </row>
    <row r="136" spans="1:18" x14ac:dyDescent="0.45">
      <c r="A136" s="3" t="s">
        <v>557</v>
      </c>
      <c r="B136" s="1" t="s">
        <v>136</v>
      </c>
      <c r="C136" s="5">
        <v>0.01</v>
      </c>
      <c r="D136" s="4">
        <v>9455</v>
      </c>
      <c r="E136" s="4">
        <v>9455</v>
      </c>
      <c r="F136" s="4">
        <v>9450</v>
      </c>
      <c r="G136" s="5">
        <v>5.2882072977260709E-4</v>
      </c>
      <c r="H136" s="6"/>
      <c r="I136" s="2" t="str">
        <f t="shared" si="4"/>
        <v>-</v>
      </c>
      <c r="J136" s="1" t="str">
        <f>IF(I136="ERROR",BeepMe(),"")</f>
        <v/>
      </c>
      <c r="M136" s="2" t="str">
        <f t="array" ref="M136">IFERROR(INDEX(I:I,SMALL(IF($I$2:$I$450="ERROR", ROW($I$2:$I$450)),ROW()-1)), "")</f>
        <v/>
      </c>
      <c r="N136" s="2" t="str">
        <f t="array" ref="N136">IFERROR(INDEX(A:A,SMALL(IF($I$2:$I$450="ERROR", ROW($A$2:$A$450)),ROW()-1)), "")</f>
        <v/>
      </c>
      <c r="O136" s="2" t="str">
        <f t="array" ref="O136">IFERROR(INDEX(B:B,SMALL(IF($I$2:$I$450="ERROR", ROW($B$2:$B$450)),ROW()-1)), "")</f>
        <v/>
      </c>
      <c r="P136" s="5" t="str">
        <f t="array" ref="P136">IFERROR(INDEX(C:C,SMALL(IF($I$2:$I$450="ERROR", ROW($C$2:$C$450)),ROW()-1)), "")</f>
        <v/>
      </c>
      <c r="Q136" s="5" t="str">
        <f t="array" ref="Q136">IFERROR(INDEX(G:G,SMALL(IF($I$2:$I$450="ERROR", ROW($G$2:$G$450)),ROW()-1)), "")</f>
        <v/>
      </c>
      <c r="R136" s="8" t="str">
        <f t="shared" si="5"/>
        <v/>
      </c>
    </row>
    <row r="137" spans="1:18" x14ac:dyDescent="0.45">
      <c r="A137" s="3" t="s">
        <v>558</v>
      </c>
      <c r="B137" s="1" t="s">
        <v>137</v>
      </c>
      <c r="C137" s="5">
        <v>0.01</v>
      </c>
      <c r="D137" s="4">
        <v>9355</v>
      </c>
      <c r="E137" s="4">
        <v>9355</v>
      </c>
      <c r="F137" s="4">
        <v>9335</v>
      </c>
      <c r="G137" s="5">
        <v>2.137894174238375E-3</v>
      </c>
      <c r="H137" s="6"/>
      <c r="I137" s="2" t="str">
        <f t="shared" si="4"/>
        <v>-</v>
      </c>
      <c r="J137" s="1" t="str">
        <f>IF(I137="ERROR",BeepMe(),"")</f>
        <v/>
      </c>
      <c r="M137" s="2" t="str">
        <f t="array" ref="M137">IFERROR(INDEX(I:I,SMALL(IF($I$2:$I$450="ERROR", ROW($I$2:$I$450)),ROW()-1)), "")</f>
        <v/>
      </c>
      <c r="N137" s="2" t="str">
        <f t="array" ref="N137">IFERROR(INDEX(A:A,SMALL(IF($I$2:$I$450="ERROR", ROW($A$2:$A$450)),ROW()-1)), "")</f>
        <v/>
      </c>
      <c r="O137" s="2" t="str">
        <f t="array" ref="O137">IFERROR(INDEX(B:B,SMALL(IF($I$2:$I$450="ERROR", ROW($B$2:$B$450)),ROW()-1)), "")</f>
        <v/>
      </c>
      <c r="P137" s="5" t="str">
        <f t="array" ref="P137">IFERROR(INDEX(C:C,SMALL(IF($I$2:$I$450="ERROR", ROW($C$2:$C$450)),ROW()-1)), "")</f>
        <v/>
      </c>
      <c r="Q137" s="5" t="str">
        <f t="array" ref="Q137">IFERROR(INDEX(G:G,SMALL(IF($I$2:$I$450="ERROR", ROW($G$2:$G$450)),ROW()-1)), "")</f>
        <v/>
      </c>
      <c r="R137" s="8" t="str">
        <f t="shared" si="5"/>
        <v/>
      </c>
    </row>
    <row r="138" spans="1:18" x14ac:dyDescent="0.45">
      <c r="A138" s="3" t="s">
        <v>559</v>
      </c>
      <c r="B138" s="1" t="s">
        <v>138</v>
      </c>
      <c r="C138" s="5">
        <v>0.01</v>
      </c>
      <c r="D138" s="4">
        <v>12690</v>
      </c>
      <c r="E138" s="4">
        <v>12690</v>
      </c>
      <c r="F138" s="4">
        <v>12685</v>
      </c>
      <c r="G138" s="5">
        <v>3.9401103230890468E-4</v>
      </c>
      <c r="H138" s="6"/>
      <c r="I138" s="2" t="str">
        <f t="shared" si="4"/>
        <v>-</v>
      </c>
      <c r="J138" s="1" t="str">
        <f>IF(I138="ERROR",BeepMe(),"")</f>
        <v/>
      </c>
      <c r="M138" s="2" t="str">
        <f t="array" ref="M138">IFERROR(INDEX(I:I,SMALL(IF($I$2:$I$450="ERROR", ROW($I$2:$I$450)),ROW()-1)), "")</f>
        <v/>
      </c>
      <c r="N138" s="2" t="str">
        <f t="array" ref="N138">IFERROR(INDEX(A:A,SMALL(IF($I$2:$I$450="ERROR", ROW($A$2:$A$450)),ROW()-1)), "")</f>
        <v/>
      </c>
      <c r="O138" s="2" t="str">
        <f t="array" ref="O138">IFERROR(INDEX(B:B,SMALL(IF($I$2:$I$450="ERROR", ROW($B$2:$B$450)),ROW()-1)), "")</f>
        <v/>
      </c>
      <c r="P138" s="5" t="str">
        <f t="array" ref="P138">IFERROR(INDEX(C:C,SMALL(IF($I$2:$I$450="ERROR", ROW($C$2:$C$450)),ROW()-1)), "")</f>
        <v/>
      </c>
      <c r="Q138" s="5" t="str">
        <f t="array" ref="Q138">IFERROR(INDEX(G:G,SMALL(IF($I$2:$I$450="ERROR", ROW($G$2:$G$450)),ROW()-1)), "")</f>
        <v/>
      </c>
      <c r="R138" s="8" t="str">
        <f t="shared" si="5"/>
        <v/>
      </c>
    </row>
    <row r="139" spans="1:18" x14ac:dyDescent="0.45">
      <c r="A139" s="3" t="s">
        <v>560</v>
      </c>
      <c r="B139" s="1" t="s">
        <v>139</v>
      </c>
      <c r="C139" s="5">
        <v>0.01</v>
      </c>
      <c r="D139" s="4">
        <v>18825</v>
      </c>
      <c r="E139" s="4">
        <v>18840</v>
      </c>
      <c r="F139" s="4">
        <v>18825</v>
      </c>
      <c r="G139" s="5">
        <v>7.9681274900398409E-4</v>
      </c>
      <c r="H139" s="6"/>
      <c r="I139" s="2" t="str">
        <f t="shared" si="4"/>
        <v>-</v>
      </c>
      <c r="J139" s="1" t="str">
        <f>IF(I139="ERROR",BeepMe(),"")</f>
        <v/>
      </c>
      <c r="M139" s="2" t="str">
        <f t="array" ref="M139">IFERROR(INDEX(I:I,SMALL(IF($I$2:$I$450="ERROR", ROW($I$2:$I$450)),ROW()-1)), "")</f>
        <v/>
      </c>
      <c r="N139" s="2" t="str">
        <f t="array" ref="N139">IFERROR(INDEX(A:A,SMALL(IF($I$2:$I$450="ERROR", ROW($A$2:$A$450)),ROW()-1)), "")</f>
        <v/>
      </c>
      <c r="O139" s="2" t="str">
        <f t="array" ref="O139">IFERROR(INDEX(B:B,SMALL(IF($I$2:$I$450="ERROR", ROW($B$2:$B$450)),ROW()-1)), "")</f>
        <v/>
      </c>
      <c r="P139" s="5" t="str">
        <f t="array" ref="P139">IFERROR(INDEX(C:C,SMALL(IF($I$2:$I$450="ERROR", ROW($C$2:$C$450)),ROW()-1)), "")</f>
        <v/>
      </c>
      <c r="Q139" s="5" t="str">
        <f t="array" ref="Q139">IFERROR(INDEX(G:G,SMALL(IF($I$2:$I$450="ERROR", ROW($G$2:$G$450)),ROW()-1)), "")</f>
        <v/>
      </c>
      <c r="R139" s="8" t="str">
        <f t="shared" si="5"/>
        <v/>
      </c>
    </row>
    <row r="140" spans="1:18" x14ac:dyDescent="0.45">
      <c r="A140" s="3" t="s">
        <v>561</v>
      </c>
      <c r="B140" s="1" t="s">
        <v>140</v>
      </c>
      <c r="C140" s="5">
        <v>1.4999999999999999E-2</v>
      </c>
      <c r="D140" s="4">
        <v>7195</v>
      </c>
      <c r="E140" s="4">
        <v>7195</v>
      </c>
      <c r="F140" s="4">
        <v>7185</v>
      </c>
      <c r="G140" s="5">
        <v>1.389854065323141E-3</v>
      </c>
      <c r="H140" s="6"/>
      <c r="I140" s="2" t="str">
        <f t="shared" si="4"/>
        <v>-</v>
      </c>
      <c r="J140" s="1" t="str">
        <f>IF(I140="ERROR",BeepMe(),"")</f>
        <v/>
      </c>
      <c r="M140" s="2" t="str">
        <f t="array" ref="M140">IFERROR(INDEX(I:I,SMALL(IF($I$2:$I$450="ERROR", ROW($I$2:$I$450)),ROW()-1)), "")</f>
        <v/>
      </c>
      <c r="N140" s="2" t="str">
        <f t="array" ref="N140">IFERROR(INDEX(A:A,SMALL(IF($I$2:$I$450="ERROR", ROW($A$2:$A$450)),ROW()-1)), "")</f>
        <v/>
      </c>
      <c r="O140" s="2" t="str">
        <f t="array" ref="O140">IFERROR(INDEX(B:B,SMALL(IF($I$2:$I$450="ERROR", ROW($B$2:$B$450)),ROW()-1)), "")</f>
        <v/>
      </c>
      <c r="P140" s="5" t="str">
        <f t="array" ref="P140">IFERROR(INDEX(C:C,SMALL(IF($I$2:$I$450="ERROR", ROW($C$2:$C$450)),ROW()-1)), "")</f>
        <v/>
      </c>
      <c r="Q140" s="5" t="str">
        <f t="array" ref="Q140">IFERROR(INDEX(G:G,SMALL(IF($I$2:$I$450="ERROR", ROW($G$2:$G$450)),ROW()-1)), "")</f>
        <v/>
      </c>
      <c r="R140" s="8" t="str">
        <f t="shared" si="5"/>
        <v/>
      </c>
    </row>
    <row r="141" spans="1:18" x14ac:dyDescent="0.45">
      <c r="A141" s="3" t="s">
        <v>562</v>
      </c>
      <c r="B141" s="1" t="s">
        <v>141</v>
      </c>
      <c r="C141" s="5">
        <v>0.01</v>
      </c>
      <c r="D141" s="4">
        <v>12915</v>
      </c>
      <c r="E141" s="4">
        <v>12915</v>
      </c>
      <c r="F141" s="4">
        <v>12910</v>
      </c>
      <c r="G141" s="5">
        <v>3.8714672861014324E-4</v>
      </c>
      <c r="H141" s="6"/>
      <c r="I141" s="2" t="str">
        <f t="shared" si="4"/>
        <v>-</v>
      </c>
      <c r="J141" s="1" t="str">
        <f>IF(I141="ERROR",BeepMe(),"")</f>
        <v/>
      </c>
      <c r="M141" s="2" t="str">
        <f t="array" ref="M141">IFERROR(INDEX(I:I,SMALL(IF($I$2:$I$450="ERROR", ROW($I$2:$I$450)),ROW()-1)), "")</f>
        <v/>
      </c>
      <c r="N141" s="2" t="str">
        <f t="array" ref="N141">IFERROR(INDEX(A:A,SMALL(IF($I$2:$I$450="ERROR", ROW($A$2:$A$450)),ROW()-1)), "")</f>
        <v/>
      </c>
      <c r="O141" s="2" t="str">
        <f t="array" ref="O141">IFERROR(INDEX(B:B,SMALL(IF($I$2:$I$450="ERROR", ROW($B$2:$B$450)),ROW()-1)), "")</f>
        <v/>
      </c>
      <c r="P141" s="5" t="str">
        <f t="array" ref="P141">IFERROR(INDEX(C:C,SMALL(IF($I$2:$I$450="ERROR", ROW($C$2:$C$450)),ROW()-1)), "")</f>
        <v/>
      </c>
      <c r="Q141" s="5" t="str">
        <f t="array" ref="Q141">IFERROR(INDEX(G:G,SMALL(IF($I$2:$I$450="ERROR", ROW($G$2:$G$450)),ROW()-1)), "")</f>
        <v/>
      </c>
      <c r="R141" s="8" t="str">
        <f t="shared" si="5"/>
        <v/>
      </c>
    </row>
    <row r="142" spans="1:18" x14ac:dyDescent="0.45">
      <c r="A142" s="3" t="s">
        <v>563</v>
      </c>
      <c r="B142" s="1" t="s">
        <v>142</v>
      </c>
      <c r="C142" s="5">
        <v>0.01</v>
      </c>
      <c r="D142" s="4">
        <v>12560</v>
      </c>
      <c r="E142" s="4">
        <v>12560</v>
      </c>
      <c r="F142" s="4">
        <v>12545</v>
      </c>
      <c r="G142" s="5">
        <v>1.1942675159235668E-3</v>
      </c>
      <c r="H142" s="6"/>
      <c r="I142" s="2" t="str">
        <f t="shared" si="4"/>
        <v>-</v>
      </c>
      <c r="J142" s="1" t="str">
        <f>IF(I142="ERROR",BeepMe(),"")</f>
        <v/>
      </c>
      <c r="M142" s="2" t="str">
        <f t="array" ref="M142">IFERROR(INDEX(I:I,SMALL(IF($I$2:$I$450="ERROR", ROW($I$2:$I$450)),ROW()-1)), "")</f>
        <v/>
      </c>
      <c r="N142" s="2" t="str">
        <f t="array" ref="N142">IFERROR(INDEX(A:A,SMALL(IF($I$2:$I$450="ERROR", ROW($A$2:$A$450)),ROW()-1)), "")</f>
        <v/>
      </c>
      <c r="O142" s="2" t="str">
        <f t="array" ref="O142">IFERROR(INDEX(B:B,SMALL(IF($I$2:$I$450="ERROR", ROW($B$2:$B$450)),ROW()-1)), "")</f>
        <v/>
      </c>
      <c r="P142" s="5" t="str">
        <f t="array" ref="P142">IFERROR(INDEX(C:C,SMALL(IF($I$2:$I$450="ERROR", ROW($C$2:$C$450)),ROW()-1)), "")</f>
        <v/>
      </c>
      <c r="Q142" s="5" t="str">
        <f t="array" ref="Q142">IFERROR(INDEX(G:G,SMALL(IF($I$2:$I$450="ERROR", ROW($G$2:$G$450)),ROW()-1)), "")</f>
        <v/>
      </c>
      <c r="R142" s="8" t="str">
        <f t="shared" si="5"/>
        <v/>
      </c>
    </row>
    <row r="143" spans="1:18" x14ac:dyDescent="0.45">
      <c r="A143" s="3" t="s">
        <v>564</v>
      </c>
      <c r="B143" s="1" t="s">
        <v>143</v>
      </c>
      <c r="C143" s="5">
        <v>0.01</v>
      </c>
      <c r="D143" s="4">
        <v>11505</v>
      </c>
      <c r="E143" s="4">
        <v>11505</v>
      </c>
      <c r="F143" s="4">
        <v>11500</v>
      </c>
      <c r="G143" s="5">
        <v>4.3459365493263801E-4</v>
      </c>
      <c r="H143" s="6"/>
      <c r="I143" s="2" t="str">
        <f t="shared" si="4"/>
        <v>-</v>
      </c>
      <c r="J143" s="1" t="str">
        <f>IF(I143="ERROR",BeepMe(),"")</f>
        <v/>
      </c>
      <c r="M143" s="2" t="str">
        <f t="array" ref="M143">IFERROR(INDEX(I:I,SMALL(IF($I$2:$I$450="ERROR", ROW($I$2:$I$450)),ROW()-1)), "")</f>
        <v/>
      </c>
      <c r="N143" s="2" t="str">
        <f t="array" ref="N143">IFERROR(INDEX(A:A,SMALL(IF($I$2:$I$450="ERROR", ROW($A$2:$A$450)),ROW()-1)), "")</f>
        <v/>
      </c>
      <c r="O143" s="2" t="str">
        <f t="array" ref="O143">IFERROR(INDEX(B:B,SMALL(IF($I$2:$I$450="ERROR", ROW($B$2:$B$450)),ROW()-1)), "")</f>
        <v/>
      </c>
      <c r="P143" s="5" t="str">
        <f t="array" ref="P143">IFERROR(INDEX(C:C,SMALL(IF($I$2:$I$450="ERROR", ROW($C$2:$C$450)),ROW()-1)), "")</f>
        <v/>
      </c>
      <c r="Q143" s="5" t="str">
        <f t="array" ref="Q143">IFERROR(INDEX(G:G,SMALL(IF($I$2:$I$450="ERROR", ROW($G$2:$G$450)),ROW()-1)), "")</f>
        <v/>
      </c>
      <c r="R143" s="8" t="str">
        <f t="shared" si="5"/>
        <v/>
      </c>
    </row>
    <row r="144" spans="1:18" x14ac:dyDescent="0.45">
      <c r="A144" s="3" t="s">
        <v>565</v>
      </c>
      <c r="B144" s="1" t="s">
        <v>144</v>
      </c>
      <c r="C144" s="5">
        <v>0.01</v>
      </c>
      <c r="D144" s="4">
        <v>14630</v>
      </c>
      <c r="E144" s="4">
        <v>14645</v>
      </c>
      <c r="F144" s="4">
        <v>14585</v>
      </c>
      <c r="G144" s="5">
        <v>4.1011619958988381E-3</v>
      </c>
      <c r="H144" s="6"/>
      <c r="I144" s="2" t="str">
        <f t="shared" si="4"/>
        <v>-</v>
      </c>
      <c r="J144" s="1" t="str">
        <f>IF(I144="ERROR",BeepMe(),"")</f>
        <v/>
      </c>
      <c r="M144" s="2" t="str">
        <f t="array" ref="M144">IFERROR(INDEX(I:I,SMALL(IF($I$2:$I$450="ERROR", ROW($I$2:$I$450)),ROW()-1)), "")</f>
        <v/>
      </c>
      <c r="N144" s="2" t="str">
        <f t="array" ref="N144">IFERROR(INDEX(A:A,SMALL(IF($I$2:$I$450="ERROR", ROW($A$2:$A$450)),ROW()-1)), "")</f>
        <v/>
      </c>
      <c r="O144" s="2" t="str">
        <f t="array" ref="O144">IFERROR(INDEX(B:B,SMALL(IF($I$2:$I$450="ERROR", ROW($B$2:$B$450)),ROW()-1)), "")</f>
        <v/>
      </c>
      <c r="P144" s="5" t="str">
        <f t="array" ref="P144">IFERROR(INDEX(C:C,SMALL(IF($I$2:$I$450="ERROR", ROW($C$2:$C$450)),ROW()-1)), "")</f>
        <v/>
      </c>
      <c r="Q144" s="5" t="str">
        <f t="array" ref="Q144">IFERROR(INDEX(G:G,SMALL(IF($I$2:$I$450="ERROR", ROW($G$2:$G$450)),ROW()-1)), "")</f>
        <v/>
      </c>
      <c r="R144" s="8" t="str">
        <f t="shared" si="5"/>
        <v/>
      </c>
    </row>
    <row r="145" spans="1:18" x14ac:dyDescent="0.45">
      <c r="A145" s="3" t="s">
        <v>566</v>
      </c>
      <c r="B145" s="1" t="s">
        <v>145</v>
      </c>
      <c r="C145" s="5">
        <v>0.02</v>
      </c>
      <c r="D145" s="4">
        <v>24735</v>
      </c>
      <c r="E145" s="4">
        <v>24735</v>
      </c>
      <c r="F145" s="4">
        <v>24730</v>
      </c>
      <c r="G145" s="5">
        <v>2.0214271275520516E-4</v>
      </c>
      <c r="H145" s="6"/>
      <c r="I145" s="2" t="str">
        <f t="shared" si="4"/>
        <v>-</v>
      </c>
      <c r="J145" s="1" t="str">
        <f>IF(I145="ERROR",BeepMe(),"")</f>
        <v/>
      </c>
      <c r="M145" s="2" t="str">
        <f t="array" ref="M145">IFERROR(INDEX(I:I,SMALL(IF($I$2:$I$450="ERROR", ROW($I$2:$I$450)),ROW()-1)), "")</f>
        <v/>
      </c>
      <c r="N145" s="2" t="str">
        <f t="array" ref="N145">IFERROR(INDEX(A:A,SMALL(IF($I$2:$I$450="ERROR", ROW($A$2:$A$450)),ROW()-1)), "")</f>
        <v/>
      </c>
      <c r="O145" s="2" t="str">
        <f t="array" ref="O145">IFERROR(INDEX(B:B,SMALL(IF($I$2:$I$450="ERROR", ROW($B$2:$B$450)),ROW()-1)), "")</f>
        <v/>
      </c>
      <c r="P145" s="5" t="str">
        <f t="array" ref="P145">IFERROR(INDEX(C:C,SMALL(IF($I$2:$I$450="ERROR", ROW($C$2:$C$450)),ROW()-1)), "")</f>
        <v/>
      </c>
      <c r="Q145" s="5" t="str">
        <f t="array" ref="Q145">IFERROR(INDEX(G:G,SMALL(IF($I$2:$I$450="ERROR", ROW($G$2:$G$450)),ROW()-1)), "")</f>
        <v/>
      </c>
      <c r="R145" s="8" t="str">
        <f t="shared" si="5"/>
        <v/>
      </c>
    </row>
    <row r="146" spans="1:18" x14ac:dyDescent="0.45">
      <c r="A146" s="3" t="s">
        <v>567</v>
      </c>
      <c r="B146" s="1" t="s">
        <v>146</v>
      </c>
      <c r="C146" s="5">
        <v>0.01</v>
      </c>
      <c r="D146" s="4">
        <v>27470</v>
      </c>
      <c r="E146" s="4">
        <v>27520</v>
      </c>
      <c r="F146" s="4">
        <v>27470</v>
      </c>
      <c r="G146" s="5">
        <v>1.8201674554058974E-3</v>
      </c>
      <c r="H146" s="6"/>
      <c r="I146" s="2" t="str">
        <f t="shared" si="4"/>
        <v>-</v>
      </c>
      <c r="J146" s="1" t="str">
        <f>IF(I146="ERROR",BeepMe(),"")</f>
        <v/>
      </c>
      <c r="M146" s="2" t="str">
        <f t="array" ref="M146">IFERROR(INDEX(I:I,SMALL(IF($I$2:$I$450="ERROR", ROW($I$2:$I$450)),ROW()-1)), "")</f>
        <v/>
      </c>
      <c r="N146" s="2" t="str">
        <f t="array" ref="N146">IFERROR(INDEX(A:A,SMALL(IF($I$2:$I$450="ERROR", ROW($A$2:$A$450)),ROW()-1)), "")</f>
        <v/>
      </c>
      <c r="O146" s="2" t="str">
        <f t="array" ref="O146">IFERROR(INDEX(B:B,SMALL(IF($I$2:$I$450="ERROR", ROW($B$2:$B$450)),ROW()-1)), "")</f>
        <v/>
      </c>
      <c r="P146" s="5" t="str">
        <f t="array" ref="P146">IFERROR(INDEX(C:C,SMALL(IF($I$2:$I$450="ERROR", ROW($C$2:$C$450)),ROW()-1)), "")</f>
        <v/>
      </c>
      <c r="Q146" s="5" t="str">
        <f t="array" ref="Q146">IFERROR(INDEX(G:G,SMALL(IF($I$2:$I$450="ERROR", ROW($G$2:$G$450)),ROW()-1)), "")</f>
        <v/>
      </c>
      <c r="R146" s="8" t="str">
        <f t="shared" si="5"/>
        <v/>
      </c>
    </row>
    <row r="147" spans="1:18" x14ac:dyDescent="0.45">
      <c r="A147" s="3" t="s">
        <v>568</v>
      </c>
      <c r="B147" s="1" t="s">
        <v>147</v>
      </c>
      <c r="C147" s="5">
        <v>0.01</v>
      </c>
      <c r="D147" s="4">
        <v>11885</v>
      </c>
      <c r="E147" s="4">
        <v>11885</v>
      </c>
      <c r="F147" s="4">
        <v>11880</v>
      </c>
      <c r="G147" s="5">
        <v>4.2069835927639884E-4</v>
      </c>
      <c r="H147" s="6"/>
      <c r="I147" s="2" t="str">
        <f t="shared" si="4"/>
        <v>-</v>
      </c>
      <c r="J147" s="1" t="str">
        <f>IF(I147="ERROR",BeepMe(),"")</f>
        <v/>
      </c>
      <c r="M147" s="2" t="str">
        <f t="array" ref="M147">IFERROR(INDEX(I:I,SMALL(IF($I$2:$I$450="ERROR", ROW($I$2:$I$450)),ROW()-1)), "")</f>
        <v/>
      </c>
      <c r="N147" s="2" t="str">
        <f t="array" ref="N147">IFERROR(INDEX(A:A,SMALL(IF($I$2:$I$450="ERROR", ROW($A$2:$A$450)),ROW()-1)), "")</f>
        <v/>
      </c>
      <c r="O147" s="2" t="str">
        <f t="array" ref="O147">IFERROR(INDEX(B:B,SMALL(IF($I$2:$I$450="ERROR", ROW($B$2:$B$450)),ROW()-1)), "")</f>
        <v/>
      </c>
      <c r="P147" s="5" t="str">
        <f t="array" ref="P147">IFERROR(INDEX(C:C,SMALL(IF($I$2:$I$450="ERROR", ROW($C$2:$C$450)),ROW()-1)), "")</f>
        <v/>
      </c>
      <c r="Q147" s="5" t="str">
        <f t="array" ref="Q147">IFERROR(INDEX(G:G,SMALL(IF($I$2:$I$450="ERROR", ROW($G$2:$G$450)),ROW()-1)), "")</f>
        <v/>
      </c>
      <c r="R147" s="8" t="str">
        <f t="shared" si="5"/>
        <v/>
      </c>
    </row>
    <row r="148" spans="1:18" x14ac:dyDescent="0.45">
      <c r="A148" s="3" t="s">
        <v>569</v>
      </c>
      <c r="B148" s="1" t="s">
        <v>148</v>
      </c>
      <c r="C148" s="5">
        <v>0.01</v>
      </c>
      <c r="D148" s="4">
        <v>9195</v>
      </c>
      <c r="E148" s="4">
        <v>9205</v>
      </c>
      <c r="F148" s="4">
        <v>9200</v>
      </c>
      <c r="G148" s="5">
        <v>5.4377379010331697E-4</v>
      </c>
      <c r="H148" s="6"/>
      <c r="I148" s="2" t="str">
        <f t="shared" si="4"/>
        <v>-</v>
      </c>
      <c r="J148" s="1" t="str">
        <f>IF(I148="ERROR",BeepMe(),"")</f>
        <v/>
      </c>
      <c r="M148" s="2" t="str">
        <f t="array" ref="M148">IFERROR(INDEX(I:I,SMALL(IF($I$2:$I$450="ERROR", ROW($I$2:$I$450)),ROW()-1)), "")</f>
        <v/>
      </c>
      <c r="N148" s="2" t="str">
        <f t="array" ref="N148">IFERROR(INDEX(A:A,SMALL(IF($I$2:$I$450="ERROR", ROW($A$2:$A$450)),ROW()-1)), "")</f>
        <v/>
      </c>
      <c r="O148" s="2" t="str">
        <f t="array" ref="O148">IFERROR(INDEX(B:B,SMALL(IF($I$2:$I$450="ERROR", ROW($B$2:$B$450)),ROW()-1)), "")</f>
        <v/>
      </c>
      <c r="P148" s="5" t="str">
        <f t="array" ref="P148">IFERROR(INDEX(C:C,SMALL(IF($I$2:$I$450="ERROR", ROW($C$2:$C$450)),ROW()-1)), "")</f>
        <v/>
      </c>
      <c r="Q148" s="5" t="str">
        <f t="array" ref="Q148">IFERROR(INDEX(G:G,SMALL(IF($I$2:$I$450="ERROR", ROW($G$2:$G$450)),ROW()-1)), "")</f>
        <v/>
      </c>
      <c r="R148" s="8" t="str">
        <f t="shared" si="5"/>
        <v/>
      </c>
    </row>
    <row r="149" spans="1:18" x14ac:dyDescent="0.45">
      <c r="A149" s="3" t="s">
        <v>570</v>
      </c>
      <c r="B149" s="1" t="s">
        <v>149</v>
      </c>
      <c r="C149" s="5">
        <v>0.01</v>
      </c>
      <c r="D149" s="4">
        <v>10745</v>
      </c>
      <c r="E149" s="4">
        <v>10745</v>
      </c>
      <c r="F149" s="4">
        <v>10735</v>
      </c>
      <c r="G149" s="5">
        <v>9.3066542577943234E-4</v>
      </c>
      <c r="H149" s="6"/>
      <c r="I149" s="2" t="str">
        <f t="shared" si="4"/>
        <v>-</v>
      </c>
      <c r="J149" s="1" t="str">
        <f>IF(I149="ERROR",BeepMe(),"")</f>
        <v/>
      </c>
      <c r="M149" s="2" t="str">
        <f t="array" ref="M149">IFERROR(INDEX(I:I,SMALL(IF($I$2:$I$450="ERROR", ROW($I$2:$I$450)),ROW()-1)), "")</f>
        <v/>
      </c>
      <c r="N149" s="2" t="str">
        <f t="array" ref="N149">IFERROR(INDEX(A:A,SMALL(IF($I$2:$I$450="ERROR", ROW($A$2:$A$450)),ROW()-1)), "")</f>
        <v/>
      </c>
      <c r="O149" s="2" t="str">
        <f t="array" ref="O149">IFERROR(INDEX(B:B,SMALL(IF($I$2:$I$450="ERROR", ROW($B$2:$B$450)),ROW()-1)), "")</f>
        <v/>
      </c>
      <c r="P149" s="5" t="str">
        <f t="array" ref="P149">IFERROR(INDEX(C:C,SMALL(IF($I$2:$I$450="ERROR", ROW($C$2:$C$450)),ROW()-1)), "")</f>
        <v/>
      </c>
      <c r="Q149" s="5" t="str">
        <f t="array" ref="Q149">IFERROR(INDEX(G:G,SMALL(IF($I$2:$I$450="ERROR", ROW($G$2:$G$450)),ROW()-1)), "")</f>
        <v/>
      </c>
      <c r="R149" s="8" t="str">
        <f t="shared" si="5"/>
        <v/>
      </c>
    </row>
    <row r="150" spans="1:18" x14ac:dyDescent="0.45">
      <c r="A150" s="3" t="s">
        <v>571</v>
      </c>
      <c r="B150" s="1" t="s">
        <v>150</v>
      </c>
      <c r="C150" s="5">
        <v>0.02</v>
      </c>
      <c r="D150" s="4">
        <v>17890</v>
      </c>
      <c r="E150" s="4">
        <v>17940</v>
      </c>
      <c r="F150" s="4">
        <v>17890</v>
      </c>
      <c r="G150" s="5">
        <v>2.7948574622694241E-3</v>
      </c>
      <c r="H150" s="6"/>
      <c r="I150" s="2" t="str">
        <f t="shared" si="4"/>
        <v>-</v>
      </c>
      <c r="J150" s="1" t="str">
        <f>IF(I150="ERROR",BeepMe(),"")</f>
        <v/>
      </c>
      <c r="M150" s="2" t="str">
        <f t="array" ref="M150">IFERROR(INDEX(I:I,SMALL(IF($I$2:$I$450="ERROR", ROW($I$2:$I$450)),ROW()-1)), "")</f>
        <v/>
      </c>
      <c r="N150" s="2" t="str">
        <f t="array" ref="N150">IFERROR(INDEX(A:A,SMALL(IF($I$2:$I$450="ERROR", ROW($A$2:$A$450)),ROW()-1)), "")</f>
        <v/>
      </c>
      <c r="O150" s="2" t="str">
        <f t="array" ref="O150">IFERROR(INDEX(B:B,SMALL(IF($I$2:$I$450="ERROR", ROW($B$2:$B$450)),ROW()-1)), "")</f>
        <v/>
      </c>
      <c r="P150" s="5" t="str">
        <f t="array" ref="P150">IFERROR(INDEX(C:C,SMALL(IF($I$2:$I$450="ERROR", ROW($C$2:$C$450)),ROW()-1)), "")</f>
        <v/>
      </c>
      <c r="Q150" s="5" t="str">
        <f t="array" ref="Q150">IFERROR(INDEX(G:G,SMALL(IF($I$2:$I$450="ERROR", ROW($G$2:$G$450)),ROW()-1)), "")</f>
        <v/>
      </c>
      <c r="R150" s="8" t="str">
        <f t="shared" si="5"/>
        <v/>
      </c>
    </row>
    <row r="151" spans="1:18" x14ac:dyDescent="0.45">
      <c r="A151" s="3" t="s">
        <v>572</v>
      </c>
      <c r="B151" s="1" t="s">
        <v>151</v>
      </c>
      <c r="C151" s="5">
        <v>4.0000000000000001E-3</v>
      </c>
      <c r="D151" s="4">
        <v>108540</v>
      </c>
      <c r="E151" s="4">
        <v>108540</v>
      </c>
      <c r="F151" s="4">
        <v>108535</v>
      </c>
      <c r="G151" s="5">
        <v>4.6065966463976415E-5</v>
      </c>
      <c r="H151" s="6"/>
      <c r="I151" s="2" t="str">
        <f t="shared" si="4"/>
        <v>-</v>
      </c>
      <c r="J151" s="1" t="str">
        <f>IF(I151="ERROR",BeepMe(),"")</f>
        <v/>
      </c>
      <c r="M151" s="2" t="str">
        <f t="array" ref="M151">IFERROR(INDEX(I:I,SMALL(IF($I$2:$I$450="ERROR", ROW($I$2:$I$450)),ROW()-1)), "")</f>
        <v/>
      </c>
      <c r="N151" s="2" t="str">
        <f t="array" ref="N151">IFERROR(INDEX(A:A,SMALL(IF($I$2:$I$450="ERROR", ROW($A$2:$A$450)),ROW()-1)), "")</f>
        <v/>
      </c>
      <c r="O151" s="2" t="str">
        <f t="array" ref="O151">IFERROR(INDEX(B:B,SMALL(IF($I$2:$I$450="ERROR", ROW($B$2:$B$450)),ROW()-1)), "")</f>
        <v/>
      </c>
      <c r="P151" s="5" t="str">
        <f t="array" ref="P151">IFERROR(INDEX(C:C,SMALL(IF($I$2:$I$450="ERROR", ROW($C$2:$C$450)),ROW()-1)), "")</f>
        <v/>
      </c>
      <c r="Q151" s="5" t="str">
        <f t="array" ref="Q151">IFERROR(INDEX(G:G,SMALL(IF($I$2:$I$450="ERROR", ROW($G$2:$G$450)),ROW()-1)), "")</f>
        <v/>
      </c>
      <c r="R151" s="8" t="str">
        <f t="shared" si="5"/>
        <v/>
      </c>
    </row>
    <row r="152" spans="1:18" x14ac:dyDescent="0.45">
      <c r="A152" s="3" t="s">
        <v>573</v>
      </c>
      <c r="B152" s="1" t="s">
        <v>152</v>
      </c>
      <c r="C152" s="5">
        <v>0.02</v>
      </c>
      <c r="D152" s="4">
        <v>15620</v>
      </c>
      <c r="E152" s="4">
        <v>15625</v>
      </c>
      <c r="F152" s="4">
        <v>15620</v>
      </c>
      <c r="G152" s="5">
        <v>3.201024327784891E-4</v>
      </c>
      <c r="H152" s="6"/>
      <c r="I152" s="2" t="str">
        <f t="shared" si="4"/>
        <v>-</v>
      </c>
      <c r="J152" s="1" t="str">
        <f>IF(I152="ERROR",BeepMe(),"")</f>
        <v/>
      </c>
      <c r="M152" s="2" t="str">
        <f t="array" ref="M152">IFERROR(INDEX(I:I,SMALL(IF($I$2:$I$450="ERROR", ROW($I$2:$I$450)),ROW()-1)), "")</f>
        <v/>
      </c>
      <c r="N152" s="2" t="str">
        <f t="array" ref="N152">IFERROR(INDEX(A:A,SMALL(IF($I$2:$I$450="ERROR", ROW($A$2:$A$450)),ROW()-1)), "")</f>
        <v/>
      </c>
      <c r="O152" s="2" t="str">
        <f t="array" ref="O152">IFERROR(INDEX(B:B,SMALL(IF($I$2:$I$450="ERROR", ROW($B$2:$B$450)),ROW()-1)), "")</f>
        <v/>
      </c>
      <c r="P152" s="5" t="str">
        <f t="array" ref="P152">IFERROR(INDEX(C:C,SMALL(IF($I$2:$I$450="ERROR", ROW($C$2:$C$450)),ROW()-1)), "")</f>
        <v/>
      </c>
      <c r="Q152" s="5" t="str">
        <f t="array" ref="Q152">IFERROR(INDEX(G:G,SMALL(IF($I$2:$I$450="ERROR", ROW($G$2:$G$450)),ROW()-1)), "")</f>
        <v/>
      </c>
      <c r="R152" s="8" t="str">
        <f t="shared" si="5"/>
        <v/>
      </c>
    </row>
    <row r="153" spans="1:18" x14ac:dyDescent="0.45">
      <c r="A153" s="3" t="s">
        <v>574</v>
      </c>
      <c r="B153" s="1" t="s">
        <v>153</v>
      </c>
      <c r="C153" s="5">
        <v>0.01</v>
      </c>
      <c r="D153" s="4">
        <v>11830</v>
      </c>
      <c r="E153" s="4">
        <v>11835</v>
      </c>
      <c r="F153" s="4">
        <v>11825</v>
      </c>
      <c r="G153" s="5">
        <v>8.4530853761622987E-4</v>
      </c>
      <c r="H153" s="6"/>
      <c r="I153" s="2" t="str">
        <f t="shared" si="4"/>
        <v>-</v>
      </c>
      <c r="J153" s="1" t="str">
        <f>IF(I153="ERROR",BeepMe(),"")</f>
        <v/>
      </c>
      <c r="M153" s="2" t="str">
        <f t="array" ref="M153">IFERROR(INDEX(I:I,SMALL(IF($I$2:$I$450="ERROR", ROW($I$2:$I$450)),ROW()-1)), "")</f>
        <v/>
      </c>
      <c r="N153" s="2" t="str">
        <f t="array" ref="N153">IFERROR(INDEX(A:A,SMALL(IF($I$2:$I$450="ERROR", ROW($A$2:$A$450)),ROW()-1)), "")</f>
        <v/>
      </c>
      <c r="O153" s="2" t="str">
        <f t="array" ref="O153">IFERROR(INDEX(B:B,SMALL(IF($I$2:$I$450="ERROR", ROW($B$2:$B$450)),ROW()-1)), "")</f>
        <v/>
      </c>
      <c r="P153" s="5" t="str">
        <f t="array" ref="P153">IFERROR(INDEX(C:C,SMALL(IF($I$2:$I$450="ERROR", ROW($C$2:$C$450)),ROW()-1)), "")</f>
        <v/>
      </c>
      <c r="Q153" s="5" t="str">
        <f t="array" ref="Q153">IFERROR(INDEX(G:G,SMALL(IF($I$2:$I$450="ERROR", ROW($G$2:$G$450)),ROW()-1)), "")</f>
        <v/>
      </c>
      <c r="R153" s="8" t="str">
        <f t="shared" si="5"/>
        <v/>
      </c>
    </row>
    <row r="154" spans="1:18" x14ac:dyDescent="0.45">
      <c r="A154" s="3" t="s">
        <v>575</v>
      </c>
      <c r="B154" s="1" t="s">
        <v>154</v>
      </c>
      <c r="C154" s="5">
        <v>0.01</v>
      </c>
      <c r="D154" s="4">
        <v>46440</v>
      </c>
      <c r="E154" s="4">
        <v>46440</v>
      </c>
      <c r="F154" s="4">
        <v>46370</v>
      </c>
      <c r="G154" s="5">
        <v>1.5073212747631353E-3</v>
      </c>
      <c r="H154" s="6"/>
      <c r="I154" s="2" t="str">
        <f t="shared" si="4"/>
        <v>-</v>
      </c>
      <c r="J154" s="1" t="str">
        <f>IF(I154="ERROR",BeepMe(),"")</f>
        <v/>
      </c>
      <c r="M154" s="2" t="str">
        <f t="array" ref="M154">IFERROR(INDEX(I:I,SMALL(IF($I$2:$I$450="ERROR", ROW($I$2:$I$450)),ROW()-1)), "")</f>
        <v/>
      </c>
      <c r="N154" s="2" t="str">
        <f t="array" ref="N154">IFERROR(INDEX(A:A,SMALL(IF($I$2:$I$450="ERROR", ROW($A$2:$A$450)),ROW()-1)), "")</f>
        <v/>
      </c>
      <c r="O154" s="2" t="str">
        <f t="array" ref="O154">IFERROR(INDEX(B:B,SMALL(IF($I$2:$I$450="ERROR", ROW($B$2:$B$450)),ROW()-1)), "")</f>
        <v/>
      </c>
      <c r="P154" s="5" t="str">
        <f t="array" ref="P154">IFERROR(INDEX(C:C,SMALL(IF($I$2:$I$450="ERROR", ROW($C$2:$C$450)),ROW()-1)), "")</f>
        <v/>
      </c>
      <c r="Q154" s="5" t="str">
        <f t="array" ref="Q154">IFERROR(INDEX(G:G,SMALL(IF($I$2:$I$450="ERROR", ROW($G$2:$G$450)),ROW()-1)), "")</f>
        <v/>
      </c>
      <c r="R154" s="8" t="str">
        <f t="shared" si="5"/>
        <v/>
      </c>
    </row>
    <row r="155" spans="1:18" x14ac:dyDescent="0.45">
      <c r="A155" s="3" t="s">
        <v>576</v>
      </c>
      <c r="B155" s="1" t="s">
        <v>155</v>
      </c>
      <c r="C155" s="5">
        <v>0.01</v>
      </c>
      <c r="D155" s="4">
        <v>14120</v>
      </c>
      <c r="E155" s="4">
        <v>14120</v>
      </c>
      <c r="F155" s="4">
        <v>14040</v>
      </c>
      <c r="G155" s="5">
        <v>5.6657223796033997E-3</v>
      </c>
      <c r="H155" s="6"/>
      <c r="I155" s="2" t="str">
        <f t="shared" si="4"/>
        <v>-</v>
      </c>
      <c r="J155" s="1" t="str">
        <f>IF(I155="ERROR",BeepMe(),"")</f>
        <v/>
      </c>
      <c r="M155" s="2" t="str">
        <f t="array" ref="M155">IFERROR(INDEX(I:I,SMALL(IF($I$2:$I$450="ERROR", ROW($I$2:$I$450)),ROW()-1)), "")</f>
        <v/>
      </c>
      <c r="N155" s="2" t="str">
        <f t="array" ref="N155">IFERROR(INDEX(A:A,SMALL(IF($I$2:$I$450="ERROR", ROW($A$2:$A$450)),ROW()-1)), "")</f>
        <v/>
      </c>
      <c r="O155" s="2" t="str">
        <f t="array" ref="O155">IFERROR(INDEX(B:B,SMALL(IF($I$2:$I$450="ERROR", ROW($B$2:$B$450)),ROW()-1)), "")</f>
        <v/>
      </c>
      <c r="P155" s="5" t="str">
        <f t="array" ref="P155">IFERROR(INDEX(C:C,SMALL(IF($I$2:$I$450="ERROR", ROW($C$2:$C$450)),ROW()-1)), "")</f>
        <v/>
      </c>
      <c r="Q155" s="5" t="str">
        <f t="array" ref="Q155">IFERROR(INDEX(G:G,SMALL(IF($I$2:$I$450="ERROR", ROW($G$2:$G$450)),ROW()-1)), "")</f>
        <v/>
      </c>
      <c r="R155" s="8" t="str">
        <f t="shared" si="5"/>
        <v/>
      </c>
    </row>
    <row r="156" spans="1:18" x14ac:dyDescent="0.45">
      <c r="A156" s="3" t="s">
        <v>577</v>
      </c>
      <c r="B156" s="1" t="s">
        <v>156</v>
      </c>
      <c r="C156" s="5">
        <v>0.01</v>
      </c>
      <c r="D156" s="4">
        <v>9410</v>
      </c>
      <c r="E156" s="4">
        <v>9410</v>
      </c>
      <c r="F156" s="4">
        <v>9405</v>
      </c>
      <c r="G156" s="5">
        <v>5.3134962805526033E-4</v>
      </c>
      <c r="H156" s="6"/>
      <c r="I156" s="2" t="str">
        <f t="shared" si="4"/>
        <v>-</v>
      </c>
      <c r="J156" s="1" t="str">
        <f>IF(I156="ERROR",BeepMe(),"")</f>
        <v/>
      </c>
      <c r="M156" s="2" t="str">
        <f t="array" ref="M156">IFERROR(INDEX(I:I,SMALL(IF($I$2:$I$450="ERROR", ROW($I$2:$I$450)),ROW()-1)), "")</f>
        <v/>
      </c>
      <c r="N156" s="2" t="str">
        <f t="array" ref="N156">IFERROR(INDEX(A:A,SMALL(IF($I$2:$I$450="ERROR", ROW($A$2:$A$450)),ROW()-1)), "")</f>
        <v/>
      </c>
      <c r="O156" s="2" t="str">
        <f t="array" ref="O156">IFERROR(INDEX(B:B,SMALL(IF($I$2:$I$450="ERROR", ROW($B$2:$B$450)),ROW()-1)), "")</f>
        <v/>
      </c>
      <c r="P156" s="5" t="str">
        <f t="array" ref="P156">IFERROR(INDEX(C:C,SMALL(IF($I$2:$I$450="ERROR", ROW($C$2:$C$450)),ROW()-1)), "")</f>
        <v/>
      </c>
      <c r="Q156" s="5" t="str">
        <f t="array" ref="Q156">IFERROR(INDEX(G:G,SMALL(IF($I$2:$I$450="ERROR", ROW($G$2:$G$450)),ROW()-1)), "")</f>
        <v/>
      </c>
      <c r="R156" s="8" t="str">
        <f t="shared" si="5"/>
        <v/>
      </c>
    </row>
    <row r="157" spans="1:18" x14ac:dyDescent="0.45">
      <c r="A157" s="3" t="s">
        <v>578</v>
      </c>
      <c r="B157" s="1" t="s">
        <v>157</v>
      </c>
      <c r="C157" s="5">
        <v>0.01</v>
      </c>
      <c r="D157" s="4">
        <v>12915</v>
      </c>
      <c r="E157" s="4">
        <v>12915</v>
      </c>
      <c r="F157" s="4">
        <v>12870</v>
      </c>
      <c r="G157" s="5">
        <v>3.4843205574912892E-3</v>
      </c>
      <c r="H157" s="6"/>
      <c r="I157" s="2" t="str">
        <f t="shared" si="4"/>
        <v>-</v>
      </c>
      <c r="J157" s="1" t="str">
        <f>IF(I157="ERROR",BeepMe(),"")</f>
        <v/>
      </c>
      <c r="M157" s="2" t="str">
        <f t="array" ref="M157">IFERROR(INDEX(I:I,SMALL(IF($I$2:$I$450="ERROR", ROW($I$2:$I$450)),ROW()-1)), "")</f>
        <v/>
      </c>
      <c r="N157" s="2" t="str">
        <f t="array" ref="N157">IFERROR(INDEX(A:A,SMALL(IF($I$2:$I$450="ERROR", ROW($A$2:$A$450)),ROW()-1)), "")</f>
        <v/>
      </c>
      <c r="O157" s="2" t="str">
        <f t="array" ref="O157">IFERROR(INDEX(B:B,SMALL(IF($I$2:$I$450="ERROR", ROW($B$2:$B$450)),ROW()-1)), "")</f>
        <v/>
      </c>
      <c r="P157" s="5" t="str">
        <f t="array" ref="P157">IFERROR(INDEX(C:C,SMALL(IF($I$2:$I$450="ERROR", ROW($C$2:$C$450)),ROW()-1)), "")</f>
        <v/>
      </c>
      <c r="Q157" s="5" t="str">
        <f t="array" ref="Q157">IFERROR(INDEX(G:G,SMALL(IF($I$2:$I$450="ERROR", ROW($G$2:$G$450)),ROW()-1)), "")</f>
        <v/>
      </c>
      <c r="R157" s="8" t="str">
        <f t="shared" si="5"/>
        <v/>
      </c>
    </row>
    <row r="158" spans="1:18" x14ac:dyDescent="0.45">
      <c r="A158" s="3" t="s">
        <v>579</v>
      </c>
      <c r="B158" s="1" t="s">
        <v>158</v>
      </c>
      <c r="C158" s="5">
        <v>0.01</v>
      </c>
      <c r="D158" s="4">
        <v>10145</v>
      </c>
      <c r="E158" s="4">
        <v>10145</v>
      </c>
      <c r="F158" s="4">
        <v>10125</v>
      </c>
      <c r="G158" s="5">
        <v>1.9714144898965009E-3</v>
      </c>
      <c r="H158" s="6"/>
      <c r="I158" s="2" t="str">
        <f t="shared" si="4"/>
        <v>-</v>
      </c>
      <c r="J158" s="1" t="str">
        <f>IF(I158="ERROR",BeepMe(),"")</f>
        <v/>
      </c>
      <c r="M158" s="2" t="str">
        <f t="array" ref="M158">IFERROR(INDEX(I:I,SMALL(IF($I$2:$I$450="ERROR", ROW($I$2:$I$450)),ROW()-1)), "")</f>
        <v/>
      </c>
      <c r="N158" s="2" t="str">
        <f t="array" ref="N158">IFERROR(INDEX(A:A,SMALL(IF($I$2:$I$450="ERROR", ROW($A$2:$A$450)),ROW()-1)), "")</f>
        <v/>
      </c>
      <c r="O158" s="2" t="str">
        <f t="array" ref="O158">IFERROR(INDEX(B:B,SMALL(IF($I$2:$I$450="ERROR", ROW($B$2:$B$450)),ROW()-1)), "")</f>
        <v/>
      </c>
      <c r="P158" s="5" t="str">
        <f t="array" ref="P158">IFERROR(INDEX(C:C,SMALL(IF($I$2:$I$450="ERROR", ROW($C$2:$C$450)),ROW()-1)), "")</f>
        <v/>
      </c>
      <c r="Q158" s="5" t="str">
        <f t="array" ref="Q158">IFERROR(INDEX(G:G,SMALL(IF($I$2:$I$450="ERROR", ROW($G$2:$G$450)),ROW()-1)), "")</f>
        <v/>
      </c>
      <c r="R158" s="8" t="str">
        <f t="shared" si="5"/>
        <v/>
      </c>
    </row>
    <row r="159" spans="1:18" x14ac:dyDescent="0.45">
      <c r="A159" s="3" t="s">
        <v>580</v>
      </c>
      <c r="B159" s="1" t="s">
        <v>159</v>
      </c>
      <c r="C159" s="5">
        <v>0.01</v>
      </c>
      <c r="D159" s="4">
        <v>9725</v>
      </c>
      <c r="E159" s="4">
        <v>9735</v>
      </c>
      <c r="F159" s="4">
        <v>9715</v>
      </c>
      <c r="G159" s="5">
        <v>2.056555269922879E-3</v>
      </c>
      <c r="H159" s="6"/>
      <c r="I159" s="2" t="str">
        <f t="shared" si="4"/>
        <v>-</v>
      </c>
      <c r="J159" s="1" t="str">
        <f>IF(I159="ERROR",BeepMe(),"")</f>
        <v/>
      </c>
      <c r="M159" s="2" t="str">
        <f t="array" ref="M159">IFERROR(INDEX(I:I,SMALL(IF($I$2:$I$450="ERROR", ROW($I$2:$I$450)),ROW()-1)), "")</f>
        <v/>
      </c>
      <c r="N159" s="2" t="str">
        <f t="array" ref="N159">IFERROR(INDEX(A:A,SMALL(IF($I$2:$I$450="ERROR", ROW($A$2:$A$450)),ROW()-1)), "")</f>
        <v/>
      </c>
      <c r="O159" s="2" t="str">
        <f t="array" ref="O159">IFERROR(INDEX(B:B,SMALL(IF($I$2:$I$450="ERROR", ROW($B$2:$B$450)),ROW()-1)), "")</f>
        <v/>
      </c>
      <c r="P159" s="5" t="str">
        <f t="array" ref="P159">IFERROR(INDEX(C:C,SMALL(IF($I$2:$I$450="ERROR", ROW($C$2:$C$450)),ROW()-1)), "")</f>
        <v/>
      </c>
      <c r="Q159" s="5" t="str">
        <f t="array" ref="Q159">IFERROR(INDEX(G:G,SMALL(IF($I$2:$I$450="ERROR", ROW($G$2:$G$450)),ROW()-1)), "")</f>
        <v/>
      </c>
      <c r="R159" s="8" t="str">
        <f t="shared" si="5"/>
        <v/>
      </c>
    </row>
    <row r="160" spans="1:18" x14ac:dyDescent="0.45">
      <c r="A160" s="3" t="s">
        <v>581</v>
      </c>
      <c r="B160" s="1" t="s">
        <v>160</v>
      </c>
      <c r="C160" s="5">
        <v>0.02</v>
      </c>
      <c r="D160" s="4">
        <v>21490</v>
      </c>
      <c r="E160" s="4">
        <v>21490</v>
      </c>
      <c r="F160" s="4">
        <v>21435</v>
      </c>
      <c r="G160" s="5">
        <v>2.5593299208934387E-3</v>
      </c>
      <c r="H160" s="6"/>
      <c r="I160" s="2" t="str">
        <f t="shared" si="4"/>
        <v>-</v>
      </c>
      <c r="J160" s="1" t="str">
        <f>IF(I160="ERROR",BeepMe(),"")</f>
        <v/>
      </c>
      <c r="M160" s="2" t="str">
        <f t="array" ref="M160">IFERROR(INDEX(I:I,SMALL(IF($I$2:$I$450="ERROR", ROW($I$2:$I$450)),ROW()-1)), "")</f>
        <v/>
      </c>
      <c r="N160" s="2" t="str">
        <f t="array" ref="N160">IFERROR(INDEX(A:A,SMALL(IF($I$2:$I$450="ERROR", ROW($A$2:$A$450)),ROW()-1)), "")</f>
        <v/>
      </c>
      <c r="O160" s="2" t="str">
        <f t="array" ref="O160">IFERROR(INDEX(B:B,SMALL(IF($I$2:$I$450="ERROR", ROW($B$2:$B$450)),ROW()-1)), "")</f>
        <v/>
      </c>
      <c r="P160" s="5" t="str">
        <f t="array" ref="P160">IFERROR(INDEX(C:C,SMALL(IF($I$2:$I$450="ERROR", ROW($C$2:$C$450)),ROW()-1)), "")</f>
        <v/>
      </c>
      <c r="Q160" s="5" t="str">
        <f t="array" ref="Q160">IFERROR(INDEX(G:G,SMALL(IF($I$2:$I$450="ERROR", ROW($G$2:$G$450)),ROW()-1)), "")</f>
        <v/>
      </c>
      <c r="R160" s="8" t="str">
        <f t="shared" si="5"/>
        <v/>
      </c>
    </row>
    <row r="161" spans="1:18" x14ac:dyDescent="0.45">
      <c r="A161" s="3" t="s">
        <v>582</v>
      </c>
      <c r="B161" s="1" t="s">
        <v>161</v>
      </c>
      <c r="C161" s="5">
        <v>0.02</v>
      </c>
      <c r="D161" s="4">
        <v>9430</v>
      </c>
      <c r="E161" s="4">
        <v>9430</v>
      </c>
      <c r="F161" s="4">
        <v>9340</v>
      </c>
      <c r="G161" s="5">
        <v>9.5440084835630972E-3</v>
      </c>
      <c r="H161" s="6"/>
      <c r="I161" s="2" t="str">
        <f t="shared" si="4"/>
        <v>-</v>
      </c>
      <c r="J161" s="1" t="str">
        <f>IF(I161="ERROR",BeepMe(),"")</f>
        <v/>
      </c>
      <c r="M161" s="2" t="str">
        <f t="array" ref="M161">IFERROR(INDEX(I:I,SMALL(IF($I$2:$I$450="ERROR", ROW($I$2:$I$450)),ROW()-1)), "")</f>
        <v/>
      </c>
      <c r="N161" s="2" t="str">
        <f t="array" ref="N161">IFERROR(INDEX(A:A,SMALL(IF($I$2:$I$450="ERROR", ROW($A$2:$A$450)),ROW()-1)), "")</f>
        <v/>
      </c>
      <c r="O161" s="2" t="str">
        <f t="array" ref="O161">IFERROR(INDEX(B:B,SMALL(IF($I$2:$I$450="ERROR", ROW($B$2:$B$450)),ROW()-1)), "")</f>
        <v/>
      </c>
      <c r="P161" s="5" t="str">
        <f t="array" ref="P161">IFERROR(INDEX(C:C,SMALL(IF($I$2:$I$450="ERROR", ROW($C$2:$C$450)),ROW()-1)), "")</f>
        <v/>
      </c>
      <c r="Q161" s="5" t="str">
        <f t="array" ref="Q161">IFERROR(INDEX(G:G,SMALL(IF($I$2:$I$450="ERROR", ROW($G$2:$G$450)),ROW()-1)), "")</f>
        <v/>
      </c>
      <c r="R161" s="8" t="str">
        <f t="shared" si="5"/>
        <v/>
      </c>
    </row>
    <row r="162" spans="1:18" x14ac:dyDescent="0.45">
      <c r="A162" s="3" t="s">
        <v>583</v>
      </c>
      <c r="B162" s="1" t="s">
        <v>162</v>
      </c>
      <c r="C162" s="5">
        <v>1.4999999999999999E-2</v>
      </c>
      <c r="D162" s="4">
        <v>23725</v>
      </c>
      <c r="E162" s="4">
        <v>23730</v>
      </c>
      <c r="F162" s="4">
        <v>23725</v>
      </c>
      <c r="G162" s="5">
        <v>2.1074815595363542E-4</v>
      </c>
      <c r="H162" s="6"/>
      <c r="I162" s="2" t="str">
        <f t="shared" si="4"/>
        <v>-</v>
      </c>
      <c r="J162" s="1" t="str">
        <f>IF(I162="ERROR",BeepMe(),"")</f>
        <v/>
      </c>
      <c r="M162" s="2" t="str">
        <f t="array" ref="M162">IFERROR(INDEX(I:I,SMALL(IF($I$2:$I$450="ERROR", ROW($I$2:$I$450)),ROW()-1)), "")</f>
        <v/>
      </c>
      <c r="N162" s="2" t="str">
        <f t="array" ref="N162">IFERROR(INDEX(A:A,SMALL(IF($I$2:$I$450="ERROR", ROW($A$2:$A$450)),ROW()-1)), "")</f>
        <v/>
      </c>
      <c r="O162" s="2" t="str">
        <f t="array" ref="O162">IFERROR(INDEX(B:B,SMALL(IF($I$2:$I$450="ERROR", ROW($B$2:$B$450)),ROW()-1)), "")</f>
        <v/>
      </c>
      <c r="P162" s="5" t="str">
        <f t="array" ref="P162">IFERROR(INDEX(C:C,SMALL(IF($I$2:$I$450="ERROR", ROW($C$2:$C$450)),ROW()-1)), "")</f>
        <v/>
      </c>
      <c r="Q162" s="5" t="str">
        <f t="array" ref="Q162">IFERROR(INDEX(G:G,SMALL(IF($I$2:$I$450="ERROR", ROW($G$2:$G$450)),ROW()-1)), "")</f>
        <v/>
      </c>
      <c r="R162" s="8" t="str">
        <f t="shared" si="5"/>
        <v/>
      </c>
    </row>
    <row r="163" spans="1:18" x14ac:dyDescent="0.45">
      <c r="A163" s="3" t="s">
        <v>584</v>
      </c>
      <c r="B163" s="1" t="s">
        <v>163</v>
      </c>
      <c r="C163" s="5">
        <v>0.01</v>
      </c>
      <c r="D163" s="4">
        <v>10890</v>
      </c>
      <c r="E163" s="4">
        <v>10925</v>
      </c>
      <c r="F163" s="4">
        <v>10855</v>
      </c>
      <c r="G163" s="5">
        <v>6.4279155188246093E-3</v>
      </c>
      <c r="H163" s="6"/>
      <c r="I163" s="2" t="str">
        <f t="shared" si="4"/>
        <v>-</v>
      </c>
      <c r="J163" s="1" t="str">
        <f>IF(I163="ERROR",BeepMe(),"")</f>
        <v/>
      </c>
      <c r="M163" s="2" t="str">
        <f t="array" ref="M163">IFERROR(INDEX(I:I,SMALL(IF($I$2:$I$450="ERROR", ROW($I$2:$I$450)),ROW()-1)), "")</f>
        <v/>
      </c>
      <c r="N163" s="2" t="str">
        <f t="array" ref="N163">IFERROR(INDEX(A:A,SMALL(IF($I$2:$I$450="ERROR", ROW($A$2:$A$450)),ROW()-1)), "")</f>
        <v/>
      </c>
      <c r="O163" s="2" t="str">
        <f t="array" ref="O163">IFERROR(INDEX(B:B,SMALL(IF($I$2:$I$450="ERROR", ROW($B$2:$B$450)),ROW()-1)), "")</f>
        <v/>
      </c>
      <c r="P163" s="5" t="str">
        <f t="array" ref="P163">IFERROR(INDEX(C:C,SMALL(IF($I$2:$I$450="ERROR", ROW($C$2:$C$450)),ROW()-1)), "")</f>
        <v/>
      </c>
      <c r="Q163" s="5" t="str">
        <f t="array" ref="Q163">IFERROR(INDEX(G:G,SMALL(IF($I$2:$I$450="ERROR", ROW($G$2:$G$450)),ROW()-1)), "")</f>
        <v/>
      </c>
      <c r="R163" s="8" t="str">
        <f t="shared" si="5"/>
        <v/>
      </c>
    </row>
    <row r="164" spans="1:18" x14ac:dyDescent="0.45">
      <c r="A164" s="3" t="s">
        <v>585</v>
      </c>
      <c r="B164" s="1" t="s">
        <v>164</v>
      </c>
      <c r="C164" s="5">
        <v>0.01</v>
      </c>
      <c r="D164" s="4">
        <v>19795</v>
      </c>
      <c r="E164" s="4">
        <v>19805</v>
      </c>
      <c r="F164" s="4">
        <v>19795</v>
      </c>
      <c r="G164" s="5">
        <v>5.0517807527153326E-4</v>
      </c>
      <c r="H164" s="6"/>
      <c r="I164" s="2" t="str">
        <f t="shared" si="4"/>
        <v>-</v>
      </c>
      <c r="J164" s="1" t="str">
        <f>IF(I164="ERROR",BeepMe(),"")</f>
        <v/>
      </c>
      <c r="M164" s="2" t="str">
        <f t="array" ref="M164">IFERROR(INDEX(I:I,SMALL(IF($I$2:$I$450="ERROR", ROW($I$2:$I$450)),ROW()-1)), "")</f>
        <v/>
      </c>
      <c r="N164" s="2" t="str">
        <f t="array" ref="N164">IFERROR(INDEX(A:A,SMALL(IF($I$2:$I$450="ERROR", ROW($A$2:$A$450)),ROW()-1)), "")</f>
        <v/>
      </c>
      <c r="O164" s="2" t="str">
        <f t="array" ref="O164">IFERROR(INDEX(B:B,SMALL(IF($I$2:$I$450="ERROR", ROW($B$2:$B$450)),ROW()-1)), "")</f>
        <v/>
      </c>
      <c r="P164" s="5" t="str">
        <f t="array" ref="P164">IFERROR(INDEX(C:C,SMALL(IF($I$2:$I$450="ERROR", ROW($C$2:$C$450)),ROW()-1)), "")</f>
        <v/>
      </c>
      <c r="Q164" s="5" t="str">
        <f t="array" ref="Q164">IFERROR(INDEX(G:G,SMALL(IF($I$2:$I$450="ERROR", ROW($G$2:$G$450)),ROW()-1)), "")</f>
        <v/>
      </c>
      <c r="R164" s="8" t="str">
        <f t="shared" si="5"/>
        <v/>
      </c>
    </row>
    <row r="165" spans="1:18" x14ac:dyDescent="0.45">
      <c r="A165" s="3" t="s">
        <v>586</v>
      </c>
      <c r="B165" s="1" t="s">
        <v>165</v>
      </c>
      <c r="C165" s="5">
        <v>0.03</v>
      </c>
      <c r="D165" s="4">
        <v>8440</v>
      </c>
      <c r="E165" s="4">
        <v>8520</v>
      </c>
      <c r="F165" s="4">
        <v>8515</v>
      </c>
      <c r="G165" s="5">
        <v>5.9241706161137445E-4</v>
      </c>
      <c r="H165" s="6"/>
      <c r="I165" s="2" t="str">
        <f t="shared" si="4"/>
        <v>-</v>
      </c>
      <c r="J165" s="1" t="str">
        <f>IF(I165="ERROR",BeepMe(),"")</f>
        <v/>
      </c>
      <c r="M165" s="2" t="str">
        <f t="array" ref="M165">IFERROR(INDEX(I:I,SMALL(IF($I$2:$I$450="ERROR", ROW($I$2:$I$450)),ROW()-1)), "")</f>
        <v/>
      </c>
      <c r="N165" s="2" t="str">
        <f t="array" ref="N165">IFERROR(INDEX(A:A,SMALL(IF($I$2:$I$450="ERROR", ROW($A$2:$A$450)),ROW()-1)), "")</f>
        <v/>
      </c>
      <c r="O165" s="2" t="str">
        <f t="array" ref="O165">IFERROR(INDEX(B:B,SMALL(IF($I$2:$I$450="ERROR", ROW($B$2:$B$450)),ROW()-1)), "")</f>
        <v/>
      </c>
      <c r="P165" s="5" t="str">
        <f t="array" ref="P165">IFERROR(INDEX(C:C,SMALL(IF($I$2:$I$450="ERROR", ROW($C$2:$C$450)),ROW()-1)), "")</f>
        <v/>
      </c>
      <c r="Q165" s="5" t="str">
        <f t="array" ref="Q165">IFERROR(INDEX(G:G,SMALL(IF($I$2:$I$450="ERROR", ROW($G$2:$G$450)),ROW()-1)), "")</f>
        <v/>
      </c>
      <c r="R165" s="8" t="str">
        <f t="shared" si="5"/>
        <v/>
      </c>
    </row>
    <row r="166" spans="1:18" x14ac:dyDescent="0.45">
      <c r="A166" s="3" t="s">
        <v>587</v>
      </c>
      <c r="B166" s="1" t="s">
        <v>166</v>
      </c>
      <c r="C166" s="5">
        <v>0.01</v>
      </c>
      <c r="D166" s="4">
        <v>4675</v>
      </c>
      <c r="E166" s="4">
        <v>4675</v>
      </c>
      <c r="F166" s="4">
        <v>4670</v>
      </c>
      <c r="G166" s="5">
        <v>1.0695187165775401E-3</v>
      </c>
      <c r="H166" s="6"/>
      <c r="I166" s="2" t="str">
        <f t="shared" si="4"/>
        <v>-</v>
      </c>
      <c r="J166" s="1" t="str">
        <f>IF(I166="ERROR",BeepMe(),"")</f>
        <v/>
      </c>
      <c r="M166" s="2" t="str">
        <f t="array" ref="M166">IFERROR(INDEX(I:I,SMALL(IF($I$2:$I$450="ERROR", ROW($I$2:$I$450)),ROW()-1)), "")</f>
        <v/>
      </c>
      <c r="N166" s="2" t="str">
        <f t="array" ref="N166">IFERROR(INDEX(A:A,SMALL(IF($I$2:$I$450="ERROR", ROW($A$2:$A$450)),ROW()-1)), "")</f>
        <v/>
      </c>
      <c r="O166" s="2" t="str">
        <f t="array" ref="O166">IFERROR(INDEX(B:B,SMALL(IF($I$2:$I$450="ERROR", ROW($B$2:$B$450)),ROW()-1)), "")</f>
        <v/>
      </c>
      <c r="P166" s="5" t="str">
        <f t="array" ref="P166">IFERROR(INDEX(C:C,SMALL(IF($I$2:$I$450="ERROR", ROW($C$2:$C$450)),ROW()-1)), "")</f>
        <v/>
      </c>
      <c r="Q166" s="5" t="str">
        <f t="array" ref="Q166">IFERROR(INDEX(G:G,SMALL(IF($I$2:$I$450="ERROR", ROW($G$2:$G$450)),ROW()-1)), "")</f>
        <v/>
      </c>
      <c r="R166" s="8" t="str">
        <f t="shared" si="5"/>
        <v/>
      </c>
    </row>
    <row r="167" spans="1:18" x14ac:dyDescent="0.45">
      <c r="A167" s="3" t="s">
        <v>588</v>
      </c>
      <c r="B167" s="1" t="s">
        <v>167</v>
      </c>
      <c r="C167" s="5">
        <v>0.01</v>
      </c>
      <c r="D167" s="4">
        <v>4560</v>
      </c>
      <c r="E167" s="4">
        <v>4560</v>
      </c>
      <c r="F167" s="4">
        <v>4555</v>
      </c>
      <c r="G167" s="5">
        <v>1.0964912280701754E-3</v>
      </c>
      <c r="H167" s="6"/>
      <c r="I167" s="2" t="str">
        <f t="shared" si="4"/>
        <v>-</v>
      </c>
      <c r="J167" s="1" t="str">
        <f>IF(I167="ERROR",BeepMe(),"")</f>
        <v/>
      </c>
      <c r="M167" s="2" t="str">
        <f t="array" ref="M167">IFERROR(INDEX(I:I,SMALL(IF($I$2:$I$450="ERROR", ROW($I$2:$I$450)),ROW()-1)), "")</f>
        <v/>
      </c>
      <c r="N167" s="2" t="str">
        <f t="array" ref="N167">IFERROR(INDEX(A:A,SMALL(IF($I$2:$I$450="ERROR", ROW($A$2:$A$450)),ROW()-1)), "")</f>
        <v/>
      </c>
      <c r="O167" s="2" t="str">
        <f t="array" ref="O167">IFERROR(INDEX(B:B,SMALL(IF($I$2:$I$450="ERROR", ROW($B$2:$B$450)),ROW()-1)), "")</f>
        <v/>
      </c>
      <c r="P167" s="5" t="str">
        <f t="array" ref="P167">IFERROR(INDEX(C:C,SMALL(IF($I$2:$I$450="ERROR", ROW($C$2:$C$450)),ROW()-1)), "")</f>
        <v/>
      </c>
      <c r="Q167" s="5" t="str">
        <f t="array" ref="Q167">IFERROR(INDEX(G:G,SMALL(IF($I$2:$I$450="ERROR", ROW($G$2:$G$450)),ROW()-1)), "")</f>
        <v/>
      </c>
      <c r="R167" s="8" t="str">
        <f t="shared" si="5"/>
        <v/>
      </c>
    </row>
    <row r="168" spans="1:18" x14ac:dyDescent="0.45">
      <c r="A168" s="3" t="s">
        <v>589</v>
      </c>
      <c r="B168" s="1" t="s">
        <v>168</v>
      </c>
      <c r="C168" s="5">
        <v>0.01</v>
      </c>
      <c r="D168" s="4">
        <v>21120</v>
      </c>
      <c r="E168" s="4">
        <v>21120</v>
      </c>
      <c r="F168" s="4">
        <v>21115</v>
      </c>
      <c r="G168" s="5">
        <v>2.3674242424242425E-4</v>
      </c>
      <c r="H168" s="6"/>
      <c r="I168" s="2" t="str">
        <f t="shared" si="4"/>
        <v>-</v>
      </c>
      <c r="J168" s="1" t="str">
        <f>IF(I168="ERROR",BeepMe(),"")</f>
        <v/>
      </c>
      <c r="M168" s="2" t="str">
        <f t="array" ref="M168">IFERROR(INDEX(I:I,SMALL(IF($I$2:$I$450="ERROR", ROW($I$2:$I$450)),ROW()-1)), "")</f>
        <v/>
      </c>
      <c r="N168" s="2" t="str">
        <f t="array" ref="N168">IFERROR(INDEX(A:A,SMALL(IF($I$2:$I$450="ERROR", ROW($A$2:$A$450)),ROW()-1)), "")</f>
        <v/>
      </c>
      <c r="O168" s="2" t="str">
        <f t="array" ref="O168">IFERROR(INDEX(B:B,SMALL(IF($I$2:$I$450="ERROR", ROW($B$2:$B$450)),ROW()-1)), "")</f>
        <v/>
      </c>
      <c r="P168" s="5" t="str">
        <f t="array" ref="P168">IFERROR(INDEX(C:C,SMALL(IF($I$2:$I$450="ERROR", ROW($C$2:$C$450)),ROW()-1)), "")</f>
        <v/>
      </c>
      <c r="Q168" s="5" t="str">
        <f t="array" ref="Q168">IFERROR(INDEX(G:G,SMALL(IF($I$2:$I$450="ERROR", ROW($G$2:$G$450)),ROW()-1)), "")</f>
        <v/>
      </c>
      <c r="R168" s="8" t="str">
        <f t="shared" si="5"/>
        <v/>
      </c>
    </row>
    <row r="169" spans="1:18" x14ac:dyDescent="0.45">
      <c r="A169" s="3" t="s">
        <v>590</v>
      </c>
      <c r="B169" s="1" t="s">
        <v>169</v>
      </c>
      <c r="C169" s="5">
        <v>0.01</v>
      </c>
      <c r="D169" s="4">
        <v>11205</v>
      </c>
      <c r="E169" s="4">
        <v>11205</v>
      </c>
      <c r="F169" s="4">
        <v>11200</v>
      </c>
      <c r="G169" s="5">
        <v>4.4622936189201248E-4</v>
      </c>
      <c r="H169" s="6"/>
      <c r="I169" s="2" t="str">
        <f t="shared" si="4"/>
        <v>-</v>
      </c>
      <c r="J169" s="1" t="str">
        <f>IF(I169="ERROR",BeepMe(),"")</f>
        <v/>
      </c>
      <c r="M169" s="2" t="str">
        <f t="array" ref="M169">IFERROR(INDEX(I:I,SMALL(IF($I$2:$I$450="ERROR", ROW($I$2:$I$450)),ROW()-1)), "")</f>
        <v/>
      </c>
      <c r="N169" s="2" t="str">
        <f t="array" ref="N169">IFERROR(INDEX(A:A,SMALL(IF($I$2:$I$450="ERROR", ROW($A$2:$A$450)),ROW()-1)), "")</f>
        <v/>
      </c>
      <c r="O169" s="2" t="str">
        <f t="array" ref="O169">IFERROR(INDEX(B:B,SMALL(IF($I$2:$I$450="ERROR", ROW($B$2:$B$450)),ROW()-1)), "")</f>
        <v/>
      </c>
      <c r="P169" s="5" t="str">
        <f t="array" ref="P169">IFERROR(INDEX(C:C,SMALL(IF($I$2:$I$450="ERROR", ROW($C$2:$C$450)),ROW()-1)), "")</f>
        <v/>
      </c>
      <c r="Q169" s="5" t="str">
        <f t="array" ref="Q169">IFERROR(INDEX(G:G,SMALL(IF($I$2:$I$450="ERROR", ROW($G$2:$G$450)),ROW()-1)), "")</f>
        <v/>
      </c>
      <c r="R169" s="8" t="str">
        <f t="shared" si="5"/>
        <v/>
      </c>
    </row>
    <row r="170" spans="1:18" x14ac:dyDescent="0.45">
      <c r="A170" s="3" t="s">
        <v>591</v>
      </c>
      <c r="B170" s="1" t="s">
        <v>170</v>
      </c>
      <c r="C170" s="5">
        <v>0.01</v>
      </c>
      <c r="D170" s="4">
        <v>12270</v>
      </c>
      <c r="E170" s="4">
        <v>12275</v>
      </c>
      <c r="F170" s="4">
        <v>12230</v>
      </c>
      <c r="G170" s="5">
        <v>3.667481662591687E-3</v>
      </c>
      <c r="H170" s="6"/>
      <c r="I170" s="2" t="str">
        <f t="shared" si="4"/>
        <v>-</v>
      </c>
      <c r="J170" s="1" t="str">
        <f>IF(I170="ERROR",BeepMe(),"")</f>
        <v/>
      </c>
      <c r="M170" s="2" t="str">
        <f t="array" ref="M170">IFERROR(INDEX(I:I,SMALL(IF($I$2:$I$450="ERROR", ROW($I$2:$I$450)),ROW()-1)), "")</f>
        <v/>
      </c>
      <c r="N170" s="2" t="str">
        <f t="array" ref="N170">IFERROR(INDEX(A:A,SMALL(IF($I$2:$I$450="ERROR", ROW($A$2:$A$450)),ROW()-1)), "")</f>
        <v/>
      </c>
      <c r="O170" s="2" t="str">
        <f t="array" ref="O170">IFERROR(INDEX(B:B,SMALL(IF($I$2:$I$450="ERROR", ROW($B$2:$B$450)),ROW()-1)), "")</f>
        <v/>
      </c>
      <c r="P170" s="5" t="str">
        <f t="array" ref="P170">IFERROR(INDEX(C:C,SMALL(IF($I$2:$I$450="ERROR", ROW($C$2:$C$450)),ROW()-1)), "")</f>
        <v/>
      </c>
      <c r="Q170" s="5" t="str">
        <f t="array" ref="Q170">IFERROR(INDEX(G:G,SMALL(IF($I$2:$I$450="ERROR", ROW($G$2:$G$450)),ROW()-1)), "")</f>
        <v/>
      </c>
      <c r="R170" s="8" t="str">
        <f t="shared" si="5"/>
        <v/>
      </c>
    </row>
    <row r="171" spans="1:18" x14ac:dyDescent="0.45">
      <c r="A171" s="3" t="s">
        <v>592</v>
      </c>
      <c r="B171" s="1" t="s">
        <v>171</v>
      </c>
      <c r="C171" s="5">
        <v>0.01</v>
      </c>
      <c r="D171" s="4">
        <v>17285</v>
      </c>
      <c r="E171" s="4">
        <v>17315</v>
      </c>
      <c r="F171" s="4">
        <v>17300</v>
      </c>
      <c r="G171" s="5">
        <v>8.6780445472953432E-4</v>
      </c>
      <c r="H171" s="6"/>
      <c r="I171" s="2" t="str">
        <f t="shared" si="4"/>
        <v>-</v>
      </c>
      <c r="J171" s="1" t="str">
        <f>IF(I171="ERROR",BeepMe(),"")</f>
        <v/>
      </c>
      <c r="M171" s="2" t="str">
        <f t="array" ref="M171">IFERROR(INDEX(I:I,SMALL(IF($I$2:$I$450="ERROR", ROW($I$2:$I$450)),ROW()-1)), "")</f>
        <v/>
      </c>
      <c r="N171" s="2" t="str">
        <f t="array" ref="N171">IFERROR(INDEX(A:A,SMALL(IF($I$2:$I$450="ERROR", ROW($A$2:$A$450)),ROW()-1)), "")</f>
        <v/>
      </c>
      <c r="O171" s="2" t="str">
        <f t="array" ref="O171">IFERROR(INDEX(B:B,SMALL(IF($I$2:$I$450="ERROR", ROW($B$2:$B$450)),ROW()-1)), "")</f>
        <v/>
      </c>
      <c r="P171" s="5" t="str">
        <f t="array" ref="P171">IFERROR(INDEX(C:C,SMALL(IF($I$2:$I$450="ERROR", ROW($C$2:$C$450)),ROW()-1)), "")</f>
        <v/>
      </c>
      <c r="Q171" s="5" t="str">
        <f t="array" ref="Q171">IFERROR(INDEX(G:G,SMALL(IF($I$2:$I$450="ERROR", ROW($G$2:$G$450)),ROW()-1)), "")</f>
        <v/>
      </c>
      <c r="R171" s="8" t="str">
        <f t="shared" si="5"/>
        <v/>
      </c>
    </row>
    <row r="172" spans="1:18" x14ac:dyDescent="0.45">
      <c r="A172" s="3" t="s">
        <v>593</v>
      </c>
      <c r="B172" s="1" t="s">
        <v>172</v>
      </c>
      <c r="C172" s="5">
        <v>0.01</v>
      </c>
      <c r="D172" s="4">
        <v>5690</v>
      </c>
      <c r="E172" s="4">
        <v>5690</v>
      </c>
      <c r="F172" s="4">
        <v>5685</v>
      </c>
      <c r="G172" s="5">
        <v>8.7873462214411243E-4</v>
      </c>
      <c r="H172" s="6"/>
      <c r="I172" s="2" t="str">
        <f t="shared" si="4"/>
        <v>-</v>
      </c>
      <c r="J172" s="1" t="str">
        <f>IF(I172="ERROR",BeepMe(),"")</f>
        <v/>
      </c>
      <c r="M172" s="2" t="str">
        <f t="array" ref="M172">IFERROR(INDEX(I:I,SMALL(IF($I$2:$I$450="ERROR", ROW($I$2:$I$450)),ROW()-1)), "")</f>
        <v/>
      </c>
      <c r="N172" s="2" t="str">
        <f t="array" ref="N172">IFERROR(INDEX(A:A,SMALL(IF($I$2:$I$450="ERROR", ROW($A$2:$A$450)),ROW()-1)), "")</f>
        <v/>
      </c>
      <c r="O172" s="2" t="str">
        <f t="array" ref="O172">IFERROR(INDEX(B:B,SMALL(IF($I$2:$I$450="ERROR", ROW($B$2:$B$450)),ROW()-1)), "")</f>
        <v/>
      </c>
      <c r="P172" s="5" t="str">
        <f t="array" ref="P172">IFERROR(INDEX(C:C,SMALL(IF($I$2:$I$450="ERROR", ROW($C$2:$C$450)),ROW()-1)), "")</f>
        <v/>
      </c>
      <c r="Q172" s="5" t="str">
        <f t="array" ref="Q172">IFERROR(INDEX(G:G,SMALL(IF($I$2:$I$450="ERROR", ROW($G$2:$G$450)),ROW()-1)), "")</f>
        <v/>
      </c>
      <c r="R172" s="8" t="str">
        <f t="shared" si="5"/>
        <v/>
      </c>
    </row>
    <row r="173" spans="1:18" x14ac:dyDescent="0.45">
      <c r="A173" s="3" t="s">
        <v>594</v>
      </c>
      <c r="B173" s="1" t="s">
        <v>173</v>
      </c>
      <c r="C173" s="5">
        <v>0.01</v>
      </c>
      <c r="D173" s="4">
        <v>2590</v>
      </c>
      <c r="E173" s="4">
        <v>2590</v>
      </c>
      <c r="F173" s="4">
        <v>2585</v>
      </c>
      <c r="G173" s="5">
        <v>1.9305019305019305E-3</v>
      </c>
      <c r="H173" s="6"/>
      <c r="I173" s="2" t="str">
        <f t="shared" si="4"/>
        <v>-</v>
      </c>
      <c r="J173" s="1" t="str">
        <f>IF(I173="ERROR",BeepMe(),"")</f>
        <v/>
      </c>
      <c r="M173" s="2" t="str">
        <f t="array" ref="M173">IFERROR(INDEX(I:I,SMALL(IF($I$2:$I$450="ERROR", ROW($I$2:$I$450)),ROW()-1)), "")</f>
        <v/>
      </c>
      <c r="N173" s="2" t="str">
        <f t="array" ref="N173">IFERROR(INDEX(A:A,SMALL(IF($I$2:$I$450="ERROR", ROW($A$2:$A$450)),ROW()-1)), "")</f>
        <v/>
      </c>
      <c r="O173" s="2" t="str">
        <f t="array" ref="O173">IFERROR(INDEX(B:B,SMALL(IF($I$2:$I$450="ERROR", ROW($B$2:$B$450)),ROW()-1)), "")</f>
        <v/>
      </c>
      <c r="P173" s="5" t="str">
        <f t="array" ref="P173">IFERROR(INDEX(C:C,SMALL(IF($I$2:$I$450="ERROR", ROW($C$2:$C$450)),ROW()-1)), "")</f>
        <v/>
      </c>
      <c r="Q173" s="5" t="str">
        <f t="array" ref="Q173">IFERROR(INDEX(G:G,SMALL(IF($I$2:$I$450="ERROR", ROW($G$2:$G$450)),ROW()-1)), "")</f>
        <v/>
      </c>
      <c r="R173" s="8" t="str">
        <f t="shared" si="5"/>
        <v/>
      </c>
    </row>
    <row r="174" spans="1:18" x14ac:dyDescent="0.45">
      <c r="A174" s="3" t="s">
        <v>595</v>
      </c>
      <c r="B174" s="1" t="s">
        <v>174</v>
      </c>
      <c r="C174" s="5">
        <v>0.01</v>
      </c>
      <c r="D174" s="4">
        <v>2600</v>
      </c>
      <c r="E174" s="4">
        <v>2600</v>
      </c>
      <c r="F174" s="4">
        <v>2595</v>
      </c>
      <c r="G174" s="5">
        <v>1.9230769230769232E-3</v>
      </c>
      <c r="H174" s="6"/>
      <c r="I174" s="2" t="str">
        <f t="shared" si="4"/>
        <v>-</v>
      </c>
      <c r="J174" s="1" t="str">
        <f>IF(I174="ERROR",BeepMe(),"")</f>
        <v/>
      </c>
      <c r="M174" s="2" t="str">
        <f t="array" ref="M174">IFERROR(INDEX(I:I,SMALL(IF($I$2:$I$450="ERROR", ROW($I$2:$I$450)),ROW()-1)), "")</f>
        <v/>
      </c>
      <c r="N174" s="2" t="str">
        <f t="array" ref="N174">IFERROR(INDEX(A:A,SMALL(IF($I$2:$I$450="ERROR", ROW($A$2:$A$450)),ROW()-1)), "")</f>
        <v/>
      </c>
      <c r="O174" s="2" t="str">
        <f t="array" ref="O174">IFERROR(INDEX(B:B,SMALL(IF($I$2:$I$450="ERROR", ROW($B$2:$B$450)),ROW()-1)), "")</f>
        <v/>
      </c>
      <c r="P174" s="5" t="str">
        <f t="array" ref="P174">IFERROR(INDEX(C:C,SMALL(IF($I$2:$I$450="ERROR", ROW($C$2:$C$450)),ROW()-1)), "")</f>
        <v/>
      </c>
      <c r="Q174" s="5" t="str">
        <f t="array" ref="Q174">IFERROR(INDEX(G:G,SMALL(IF($I$2:$I$450="ERROR", ROW($G$2:$G$450)),ROW()-1)), "")</f>
        <v/>
      </c>
      <c r="R174" s="8" t="str">
        <f t="shared" si="5"/>
        <v/>
      </c>
    </row>
    <row r="175" spans="1:18" x14ac:dyDescent="0.45">
      <c r="A175" s="3" t="s">
        <v>596</v>
      </c>
      <c r="B175" s="1" t="s">
        <v>175</v>
      </c>
      <c r="C175" s="5">
        <v>0.01</v>
      </c>
      <c r="D175" s="4">
        <v>2710</v>
      </c>
      <c r="E175" s="4">
        <v>2715</v>
      </c>
      <c r="F175" s="4">
        <v>2710</v>
      </c>
      <c r="G175" s="5">
        <v>1.8450184501845018E-3</v>
      </c>
      <c r="H175" s="6"/>
      <c r="I175" s="2" t="str">
        <f t="shared" si="4"/>
        <v>-</v>
      </c>
      <c r="J175" s="1" t="str">
        <f>IF(I175="ERROR",BeepMe(),"")</f>
        <v/>
      </c>
      <c r="M175" s="2" t="str">
        <f t="array" ref="M175">IFERROR(INDEX(I:I,SMALL(IF($I$2:$I$450="ERROR", ROW($I$2:$I$450)),ROW()-1)), "")</f>
        <v/>
      </c>
      <c r="N175" s="2" t="str">
        <f t="array" ref="N175">IFERROR(INDEX(A:A,SMALL(IF($I$2:$I$450="ERROR", ROW($A$2:$A$450)),ROW()-1)), "")</f>
        <v/>
      </c>
      <c r="O175" s="2" t="str">
        <f t="array" ref="O175">IFERROR(INDEX(B:B,SMALL(IF($I$2:$I$450="ERROR", ROW($B$2:$B$450)),ROW()-1)), "")</f>
        <v/>
      </c>
      <c r="P175" s="5" t="str">
        <f t="array" ref="P175">IFERROR(INDEX(C:C,SMALL(IF($I$2:$I$450="ERROR", ROW($C$2:$C$450)),ROW()-1)), "")</f>
        <v/>
      </c>
      <c r="Q175" s="5" t="str">
        <f t="array" ref="Q175">IFERROR(INDEX(G:G,SMALL(IF($I$2:$I$450="ERROR", ROW($G$2:$G$450)),ROW()-1)), "")</f>
        <v/>
      </c>
      <c r="R175" s="8" t="str">
        <f t="shared" si="5"/>
        <v/>
      </c>
    </row>
    <row r="176" spans="1:18" x14ac:dyDescent="0.45">
      <c r="A176" s="3" t="s">
        <v>597</v>
      </c>
      <c r="B176" s="1" t="s">
        <v>176</v>
      </c>
      <c r="C176" s="5">
        <v>0.01</v>
      </c>
      <c r="D176" s="4">
        <v>14270</v>
      </c>
      <c r="E176" s="4">
        <v>14300</v>
      </c>
      <c r="F176" s="4">
        <v>14280</v>
      </c>
      <c r="G176" s="5">
        <v>1.4015416958654519E-3</v>
      </c>
      <c r="H176" s="6"/>
      <c r="I176" s="2" t="str">
        <f t="shared" si="4"/>
        <v>-</v>
      </c>
      <c r="J176" s="1" t="str">
        <f>IF(I176="ERROR",BeepMe(),"")</f>
        <v/>
      </c>
      <c r="M176" s="2" t="str">
        <f t="array" ref="M176">IFERROR(INDEX(I:I,SMALL(IF($I$2:$I$450="ERROR", ROW($I$2:$I$450)),ROW()-1)), "")</f>
        <v/>
      </c>
      <c r="N176" s="2" t="str">
        <f t="array" ref="N176">IFERROR(INDEX(A:A,SMALL(IF($I$2:$I$450="ERROR", ROW($A$2:$A$450)),ROW()-1)), "")</f>
        <v/>
      </c>
      <c r="O176" s="2" t="str">
        <f t="array" ref="O176">IFERROR(INDEX(B:B,SMALL(IF($I$2:$I$450="ERROR", ROW($B$2:$B$450)),ROW()-1)), "")</f>
        <v/>
      </c>
      <c r="P176" s="5" t="str">
        <f t="array" ref="P176">IFERROR(INDEX(C:C,SMALL(IF($I$2:$I$450="ERROR", ROW($C$2:$C$450)),ROW()-1)), "")</f>
        <v/>
      </c>
      <c r="Q176" s="5" t="str">
        <f t="array" ref="Q176">IFERROR(INDEX(G:G,SMALL(IF($I$2:$I$450="ERROR", ROW($G$2:$G$450)),ROW()-1)), "")</f>
        <v/>
      </c>
      <c r="R176" s="8" t="str">
        <f t="shared" si="5"/>
        <v/>
      </c>
    </row>
    <row r="177" spans="1:18" x14ac:dyDescent="0.45">
      <c r="A177" s="3" t="s">
        <v>598</v>
      </c>
      <c r="B177" s="1" t="s">
        <v>177</v>
      </c>
      <c r="C177" s="5">
        <v>0.01</v>
      </c>
      <c r="D177" s="4">
        <v>15420</v>
      </c>
      <c r="E177" s="4">
        <v>15460</v>
      </c>
      <c r="F177" s="4">
        <v>15420</v>
      </c>
      <c r="G177" s="5">
        <v>2.5940337224383916E-3</v>
      </c>
      <c r="H177" s="6"/>
      <c r="I177" s="2" t="str">
        <f t="shared" si="4"/>
        <v>-</v>
      </c>
      <c r="J177" s="1" t="str">
        <f>IF(I177="ERROR",BeepMe(),"")</f>
        <v/>
      </c>
      <c r="M177" s="2" t="str">
        <f t="array" ref="M177">IFERROR(INDEX(I:I,SMALL(IF($I$2:$I$450="ERROR", ROW($I$2:$I$450)),ROW()-1)), "")</f>
        <v/>
      </c>
      <c r="N177" s="2" t="str">
        <f t="array" ref="N177">IFERROR(INDEX(A:A,SMALL(IF($I$2:$I$450="ERROR", ROW($A$2:$A$450)),ROW()-1)), "")</f>
        <v/>
      </c>
      <c r="O177" s="2" t="str">
        <f t="array" ref="O177">IFERROR(INDEX(B:B,SMALL(IF($I$2:$I$450="ERROR", ROW($B$2:$B$450)),ROW()-1)), "")</f>
        <v/>
      </c>
      <c r="P177" s="5" t="str">
        <f t="array" ref="P177">IFERROR(INDEX(C:C,SMALL(IF($I$2:$I$450="ERROR", ROW($C$2:$C$450)),ROW()-1)), "")</f>
        <v/>
      </c>
      <c r="Q177" s="5" t="str">
        <f t="array" ref="Q177">IFERROR(INDEX(G:G,SMALL(IF($I$2:$I$450="ERROR", ROW($G$2:$G$450)),ROW()-1)), "")</f>
        <v/>
      </c>
      <c r="R177" s="8" t="str">
        <f t="shared" si="5"/>
        <v/>
      </c>
    </row>
    <row r="178" spans="1:18" x14ac:dyDescent="0.45">
      <c r="A178" s="3" t="s">
        <v>599</v>
      </c>
      <c r="B178" s="1" t="s">
        <v>178</v>
      </c>
      <c r="C178" s="5">
        <v>0.01</v>
      </c>
      <c r="D178" s="4">
        <v>34505</v>
      </c>
      <c r="E178" s="4">
        <v>34505</v>
      </c>
      <c r="F178" s="4">
        <v>34465</v>
      </c>
      <c r="G178" s="5">
        <v>1.1592522822779308E-3</v>
      </c>
      <c r="H178" s="6"/>
      <c r="I178" s="2" t="str">
        <f t="shared" si="4"/>
        <v>-</v>
      </c>
      <c r="J178" s="1" t="str">
        <f>IF(I178="ERROR",BeepMe(),"")</f>
        <v/>
      </c>
      <c r="M178" s="2" t="str">
        <f t="array" ref="M178">IFERROR(INDEX(I:I,SMALL(IF($I$2:$I$450="ERROR", ROW($I$2:$I$450)),ROW()-1)), "")</f>
        <v/>
      </c>
      <c r="N178" s="2" t="str">
        <f t="array" ref="N178">IFERROR(INDEX(A:A,SMALL(IF($I$2:$I$450="ERROR", ROW($A$2:$A$450)),ROW()-1)), "")</f>
        <v/>
      </c>
      <c r="O178" s="2" t="str">
        <f t="array" ref="O178">IFERROR(INDEX(B:B,SMALL(IF($I$2:$I$450="ERROR", ROW($B$2:$B$450)),ROW()-1)), "")</f>
        <v/>
      </c>
      <c r="P178" s="5" t="str">
        <f t="array" ref="P178">IFERROR(INDEX(C:C,SMALL(IF($I$2:$I$450="ERROR", ROW($C$2:$C$450)),ROW()-1)), "")</f>
        <v/>
      </c>
      <c r="Q178" s="5" t="str">
        <f t="array" ref="Q178">IFERROR(INDEX(G:G,SMALL(IF($I$2:$I$450="ERROR", ROW($G$2:$G$450)),ROW()-1)), "")</f>
        <v/>
      </c>
      <c r="R178" s="8" t="str">
        <f t="shared" si="5"/>
        <v/>
      </c>
    </row>
    <row r="179" spans="1:18" x14ac:dyDescent="0.45">
      <c r="A179" s="3" t="s">
        <v>600</v>
      </c>
      <c r="B179" s="1" t="s">
        <v>179</v>
      </c>
      <c r="C179" s="5">
        <v>0.01</v>
      </c>
      <c r="D179" s="4">
        <v>5210</v>
      </c>
      <c r="E179" s="4">
        <v>5225</v>
      </c>
      <c r="F179" s="4">
        <v>5210</v>
      </c>
      <c r="G179" s="5">
        <v>2.8790786948176585E-3</v>
      </c>
      <c r="H179" s="6"/>
      <c r="I179" s="2" t="str">
        <f t="shared" si="4"/>
        <v>-</v>
      </c>
      <c r="J179" s="1" t="str">
        <f>IF(I179="ERROR",BeepMe(),"")</f>
        <v/>
      </c>
      <c r="M179" s="2" t="str">
        <f t="array" ref="M179">IFERROR(INDEX(I:I,SMALL(IF($I$2:$I$450="ERROR", ROW($I$2:$I$450)),ROW()-1)), "")</f>
        <v/>
      </c>
      <c r="N179" s="2" t="str">
        <f t="array" ref="N179">IFERROR(INDEX(A:A,SMALL(IF($I$2:$I$450="ERROR", ROW($A$2:$A$450)),ROW()-1)), "")</f>
        <v/>
      </c>
      <c r="O179" s="2" t="str">
        <f t="array" ref="O179">IFERROR(INDEX(B:B,SMALL(IF($I$2:$I$450="ERROR", ROW($B$2:$B$450)),ROW()-1)), "")</f>
        <v/>
      </c>
      <c r="P179" s="5" t="str">
        <f t="array" ref="P179">IFERROR(INDEX(C:C,SMALL(IF($I$2:$I$450="ERROR", ROW($C$2:$C$450)),ROW()-1)), "")</f>
        <v/>
      </c>
      <c r="Q179" s="5" t="str">
        <f t="array" ref="Q179">IFERROR(INDEX(G:G,SMALL(IF($I$2:$I$450="ERROR", ROW($G$2:$G$450)),ROW()-1)), "")</f>
        <v/>
      </c>
      <c r="R179" s="8" t="str">
        <f t="shared" si="5"/>
        <v/>
      </c>
    </row>
    <row r="180" spans="1:18" x14ac:dyDescent="0.45">
      <c r="A180" s="3" t="s">
        <v>601</v>
      </c>
      <c r="B180" s="1" t="s">
        <v>180</v>
      </c>
      <c r="C180" s="5">
        <v>0.01</v>
      </c>
      <c r="D180" s="4">
        <v>2590</v>
      </c>
      <c r="E180" s="4">
        <v>2590</v>
      </c>
      <c r="F180" s="4">
        <v>2580</v>
      </c>
      <c r="G180" s="5">
        <v>3.8610038610038611E-3</v>
      </c>
      <c r="H180" s="6"/>
      <c r="I180" s="2" t="str">
        <f t="shared" si="4"/>
        <v>-</v>
      </c>
      <c r="J180" s="1" t="str">
        <f>IF(I180="ERROR",BeepMe(),"")</f>
        <v/>
      </c>
      <c r="M180" s="2" t="str">
        <f t="array" ref="M180">IFERROR(INDEX(I:I,SMALL(IF($I$2:$I$450="ERROR", ROW($I$2:$I$450)),ROW()-1)), "")</f>
        <v/>
      </c>
      <c r="N180" s="2" t="str">
        <f t="array" ref="N180">IFERROR(INDEX(A:A,SMALL(IF($I$2:$I$450="ERROR", ROW($A$2:$A$450)),ROW()-1)), "")</f>
        <v/>
      </c>
      <c r="O180" s="2" t="str">
        <f t="array" ref="O180">IFERROR(INDEX(B:B,SMALL(IF($I$2:$I$450="ERROR", ROW($B$2:$B$450)),ROW()-1)), "")</f>
        <v/>
      </c>
      <c r="P180" s="5" t="str">
        <f t="array" ref="P180">IFERROR(INDEX(C:C,SMALL(IF($I$2:$I$450="ERROR", ROW($C$2:$C$450)),ROW()-1)), "")</f>
        <v/>
      </c>
      <c r="Q180" s="5" t="str">
        <f t="array" ref="Q180">IFERROR(INDEX(G:G,SMALL(IF($I$2:$I$450="ERROR", ROW($G$2:$G$450)),ROW()-1)), "")</f>
        <v/>
      </c>
      <c r="R180" s="8" t="str">
        <f t="shared" si="5"/>
        <v/>
      </c>
    </row>
    <row r="181" spans="1:18" x14ac:dyDescent="0.45">
      <c r="A181" s="3" t="s">
        <v>602</v>
      </c>
      <c r="B181" s="1" t="s">
        <v>181</v>
      </c>
      <c r="C181" s="5">
        <v>0.01</v>
      </c>
      <c r="D181" s="4">
        <v>5710</v>
      </c>
      <c r="E181" s="4">
        <v>5720</v>
      </c>
      <c r="F181" s="4">
        <v>5710</v>
      </c>
      <c r="G181" s="5">
        <v>1.7513134851138354E-3</v>
      </c>
      <c r="H181" s="6"/>
      <c r="I181" s="2" t="str">
        <f t="shared" si="4"/>
        <v>-</v>
      </c>
      <c r="J181" s="1" t="str">
        <f>IF(I181="ERROR",BeepMe(),"")</f>
        <v/>
      </c>
      <c r="M181" s="2" t="str">
        <f t="array" ref="M181">IFERROR(INDEX(I:I,SMALL(IF($I$2:$I$450="ERROR", ROW($I$2:$I$450)),ROW()-1)), "")</f>
        <v/>
      </c>
      <c r="N181" s="2" t="str">
        <f t="array" ref="N181">IFERROR(INDEX(A:A,SMALL(IF($I$2:$I$450="ERROR", ROW($A$2:$A$450)),ROW()-1)), "")</f>
        <v/>
      </c>
      <c r="O181" s="2" t="str">
        <f t="array" ref="O181">IFERROR(INDEX(B:B,SMALL(IF($I$2:$I$450="ERROR", ROW($B$2:$B$450)),ROW()-1)), "")</f>
        <v/>
      </c>
      <c r="P181" s="5" t="str">
        <f t="array" ref="P181">IFERROR(INDEX(C:C,SMALL(IF($I$2:$I$450="ERROR", ROW($C$2:$C$450)),ROW()-1)), "")</f>
        <v/>
      </c>
      <c r="Q181" s="5" t="str">
        <f t="array" ref="Q181">IFERROR(INDEX(G:G,SMALL(IF($I$2:$I$450="ERROR", ROW($G$2:$G$450)),ROW()-1)), "")</f>
        <v/>
      </c>
      <c r="R181" s="8" t="str">
        <f t="shared" si="5"/>
        <v/>
      </c>
    </row>
    <row r="182" spans="1:18" x14ac:dyDescent="0.45">
      <c r="A182" s="3" t="s">
        <v>603</v>
      </c>
      <c r="B182" s="1" t="s">
        <v>182</v>
      </c>
      <c r="C182" s="5">
        <v>0.01</v>
      </c>
      <c r="D182" s="4">
        <v>17100</v>
      </c>
      <c r="E182" s="4">
        <v>17100</v>
      </c>
      <c r="F182" s="4">
        <v>17080</v>
      </c>
      <c r="G182" s="5">
        <v>1.1695906432748538E-3</v>
      </c>
      <c r="H182" s="6"/>
      <c r="I182" s="2" t="str">
        <f t="shared" si="4"/>
        <v>-</v>
      </c>
      <c r="J182" s="1" t="str">
        <f>IF(I182="ERROR",BeepMe(),"")</f>
        <v/>
      </c>
      <c r="M182" s="2" t="str">
        <f t="array" ref="M182">IFERROR(INDEX(I:I,SMALL(IF($I$2:$I$450="ERROR", ROW($I$2:$I$450)),ROW()-1)), "")</f>
        <v/>
      </c>
      <c r="N182" s="2" t="str">
        <f t="array" ref="N182">IFERROR(INDEX(A:A,SMALL(IF($I$2:$I$450="ERROR", ROW($A$2:$A$450)),ROW()-1)), "")</f>
        <v/>
      </c>
      <c r="O182" s="2" t="str">
        <f t="array" ref="O182">IFERROR(INDEX(B:B,SMALL(IF($I$2:$I$450="ERROR", ROW($B$2:$B$450)),ROW()-1)), "")</f>
        <v/>
      </c>
      <c r="P182" s="5" t="str">
        <f t="array" ref="P182">IFERROR(INDEX(C:C,SMALL(IF($I$2:$I$450="ERROR", ROW($C$2:$C$450)),ROW()-1)), "")</f>
        <v/>
      </c>
      <c r="Q182" s="5" t="str">
        <f t="array" ref="Q182">IFERROR(INDEX(G:G,SMALL(IF($I$2:$I$450="ERROR", ROW($G$2:$G$450)),ROW()-1)), "")</f>
        <v/>
      </c>
      <c r="R182" s="8" t="str">
        <f t="shared" si="5"/>
        <v/>
      </c>
    </row>
    <row r="183" spans="1:18" x14ac:dyDescent="0.45">
      <c r="A183" s="3" t="s">
        <v>604</v>
      </c>
      <c r="B183" s="1" t="s">
        <v>183</v>
      </c>
      <c r="C183" s="5">
        <v>0.01</v>
      </c>
      <c r="D183" s="4">
        <v>11975</v>
      </c>
      <c r="E183" s="4">
        <v>11995</v>
      </c>
      <c r="F183" s="4">
        <v>11975</v>
      </c>
      <c r="G183" s="5">
        <v>1.6701461377870565E-3</v>
      </c>
      <c r="H183" s="6"/>
      <c r="I183" s="2" t="str">
        <f t="shared" si="4"/>
        <v>-</v>
      </c>
      <c r="J183" s="1" t="str">
        <f>IF(I183="ERROR",BeepMe(),"")</f>
        <v/>
      </c>
      <c r="M183" s="2" t="str">
        <f t="array" ref="M183">IFERROR(INDEX(I:I,SMALL(IF($I$2:$I$450="ERROR", ROW($I$2:$I$450)),ROW()-1)), "")</f>
        <v/>
      </c>
      <c r="N183" s="2" t="str">
        <f t="array" ref="N183">IFERROR(INDEX(A:A,SMALL(IF($I$2:$I$450="ERROR", ROW($A$2:$A$450)),ROW()-1)), "")</f>
        <v/>
      </c>
      <c r="O183" s="2" t="str">
        <f t="array" ref="O183">IFERROR(INDEX(B:B,SMALL(IF($I$2:$I$450="ERROR", ROW($B$2:$B$450)),ROW()-1)), "")</f>
        <v/>
      </c>
      <c r="P183" s="5" t="str">
        <f t="array" ref="P183">IFERROR(INDEX(C:C,SMALL(IF($I$2:$I$450="ERROR", ROW($C$2:$C$450)),ROW()-1)), "")</f>
        <v/>
      </c>
      <c r="Q183" s="5" t="str">
        <f t="array" ref="Q183">IFERROR(INDEX(G:G,SMALL(IF($I$2:$I$450="ERROR", ROW($G$2:$G$450)),ROW()-1)), "")</f>
        <v/>
      </c>
      <c r="R183" s="8" t="str">
        <f t="shared" si="5"/>
        <v/>
      </c>
    </row>
    <row r="184" spans="1:18" x14ac:dyDescent="0.45">
      <c r="A184" s="3" t="s">
        <v>605</v>
      </c>
      <c r="B184" s="1" t="s">
        <v>184</v>
      </c>
      <c r="C184" s="5">
        <v>0.01</v>
      </c>
      <c r="D184" s="4">
        <v>11185</v>
      </c>
      <c r="E184" s="4">
        <v>11185</v>
      </c>
      <c r="F184" s="4">
        <v>11165</v>
      </c>
      <c r="G184" s="5">
        <v>1.7881090746535539E-3</v>
      </c>
      <c r="H184" s="6"/>
      <c r="I184" s="2" t="str">
        <f t="shared" si="4"/>
        <v>-</v>
      </c>
      <c r="J184" s="1" t="str">
        <f>IF(I184="ERROR",BeepMe(),"")</f>
        <v/>
      </c>
      <c r="M184" s="2" t="str">
        <f t="array" ref="M184">IFERROR(INDEX(I:I,SMALL(IF($I$2:$I$450="ERROR", ROW($I$2:$I$450)),ROW()-1)), "")</f>
        <v/>
      </c>
      <c r="N184" s="2" t="str">
        <f t="array" ref="N184">IFERROR(INDEX(A:A,SMALL(IF($I$2:$I$450="ERROR", ROW($A$2:$A$450)),ROW()-1)), "")</f>
        <v/>
      </c>
      <c r="O184" s="2" t="str">
        <f t="array" ref="O184">IFERROR(INDEX(B:B,SMALL(IF($I$2:$I$450="ERROR", ROW($B$2:$B$450)),ROW()-1)), "")</f>
        <v/>
      </c>
      <c r="P184" s="5" t="str">
        <f t="array" ref="P184">IFERROR(INDEX(C:C,SMALL(IF($I$2:$I$450="ERROR", ROW($C$2:$C$450)),ROW()-1)), "")</f>
        <v/>
      </c>
      <c r="Q184" s="5" t="str">
        <f t="array" ref="Q184">IFERROR(INDEX(G:G,SMALL(IF($I$2:$I$450="ERROR", ROW($G$2:$G$450)),ROW()-1)), "")</f>
        <v/>
      </c>
      <c r="R184" s="8" t="str">
        <f t="shared" si="5"/>
        <v/>
      </c>
    </row>
    <row r="185" spans="1:18" x14ac:dyDescent="0.45">
      <c r="A185" s="3" t="s">
        <v>606</v>
      </c>
      <c r="B185" s="1" t="s">
        <v>185</v>
      </c>
      <c r="C185" s="5">
        <v>0.01</v>
      </c>
      <c r="D185" s="4">
        <v>16790</v>
      </c>
      <c r="E185" s="4">
        <v>16790</v>
      </c>
      <c r="F185" s="4">
        <v>16740</v>
      </c>
      <c r="G185" s="5">
        <v>2.9779630732578916E-3</v>
      </c>
      <c r="H185" s="6"/>
      <c r="I185" s="2" t="str">
        <f t="shared" si="4"/>
        <v>-</v>
      </c>
      <c r="J185" s="1" t="str">
        <f>IF(I185="ERROR",BeepMe(),"")</f>
        <v/>
      </c>
      <c r="M185" s="2" t="str">
        <f t="array" ref="M185">IFERROR(INDEX(I:I,SMALL(IF($I$2:$I$450="ERROR", ROW($I$2:$I$450)),ROW()-1)), "")</f>
        <v/>
      </c>
      <c r="N185" s="2" t="str">
        <f t="array" ref="N185">IFERROR(INDEX(A:A,SMALL(IF($I$2:$I$450="ERROR", ROW($A$2:$A$450)),ROW()-1)), "")</f>
        <v/>
      </c>
      <c r="O185" s="2" t="str">
        <f t="array" ref="O185">IFERROR(INDEX(B:B,SMALL(IF($I$2:$I$450="ERROR", ROW($B$2:$B$450)),ROW()-1)), "")</f>
        <v/>
      </c>
      <c r="P185" s="5" t="str">
        <f t="array" ref="P185">IFERROR(INDEX(C:C,SMALL(IF($I$2:$I$450="ERROR", ROW($C$2:$C$450)),ROW()-1)), "")</f>
        <v/>
      </c>
      <c r="Q185" s="5" t="str">
        <f t="array" ref="Q185">IFERROR(INDEX(G:G,SMALL(IF($I$2:$I$450="ERROR", ROW($G$2:$G$450)),ROW()-1)), "")</f>
        <v/>
      </c>
      <c r="R185" s="8" t="str">
        <f t="shared" si="5"/>
        <v/>
      </c>
    </row>
    <row r="186" spans="1:18" x14ac:dyDescent="0.45">
      <c r="A186" s="3" t="s">
        <v>607</v>
      </c>
      <c r="B186" s="1" t="s">
        <v>186</v>
      </c>
      <c r="C186" s="5">
        <v>0.01</v>
      </c>
      <c r="D186" s="4">
        <v>8190</v>
      </c>
      <c r="E186" s="4">
        <v>8190</v>
      </c>
      <c r="F186" s="4">
        <v>8180</v>
      </c>
      <c r="G186" s="5">
        <v>1.221001221001221E-3</v>
      </c>
      <c r="H186" s="6"/>
      <c r="I186" s="2" t="str">
        <f t="shared" si="4"/>
        <v>-</v>
      </c>
      <c r="J186" s="1" t="str">
        <f>IF(I186="ERROR",BeepMe(),"")</f>
        <v/>
      </c>
      <c r="M186" s="2" t="str">
        <f t="array" ref="M186">IFERROR(INDEX(I:I,SMALL(IF($I$2:$I$450="ERROR", ROW($I$2:$I$450)),ROW()-1)), "")</f>
        <v/>
      </c>
      <c r="N186" s="2" t="str">
        <f t="array" ref="N186">IFERROR(INDEX(A:A,SMALL(IF($I$2:$I$450="ERROR", ROW($A$2:$A$450)),ROW()-1)), "")</f>
        <v/>
      </c>
      <c r="O186" s="2" t="str">
        <f t="array" ref="O186">IFERROR(INDEX(B:B,SMALL(IF($I$2:$I$450="ERROR", ROW($B$2:$B$450)),ROW()-1)), "")</f>
        <v/>
      </c>
      <c r="P186" s="5" t="str">
        <f t="array" ref="P186">IFERROR(INDEX(C:C,SMALL(IF($I$2:$I$450="ERROR", ROW($C$2:$C$450)),ROW()-1)), "")</f>
        <v/>
      </c>
      <c r="Q186" s="5" t="str">
        <f t="array" ref="Q186">IFERROR(INDEX(G:G,SMALL(IF($I$2:$I$450="ERROR", ROW($G$2:$G$450)),ROW()-1)), "")</f>
        <v/>
      </c>
      <c r="R186" s="8" t="str">
        <f t="shared" si="5"/>
        <v/>
      </c>
    </row>
    <row r="187" spans="1:18" x14ac:dyDescent="0.45">
      <c r="A187" s="3" t="s">
        <v>608</v>
      </c>
      <c r="B187" s="1" t="s">
        <v>187</v>
      </c>
      <c r="C187" s="5">
        <v>0.01</v>
      </c>
      <c r="D187" s="4">
        <v>12220</v>
      </c>
      <c r="E187" s="4">
        <v>12245</v>
      </c>
      <c r="F187" s="4">
        <v>12220</v>
      </c>
      <c r="G187" s="5">
        <v>2.0458265139116204E-3</v>
      </c>
      <c r="H187" s="6"/>
      <c r="I187" s="2" t="str">
        <f t="shared" si="4"/>
        <v>-</v>
      </c>
      <c r="J187" s="1" t="str">
        <f>IF(I187="ERROR",BeepMe(),"")</f>
        <v/>
      </c>
      <c r="M187" s="2" t="str">
        <f t="array" ref="M187">IFERROR(INDEX(I:I,SMALL(IF($I$2:$I$450="ERROR", ROW($I$2:$I$450)),ROW()-1)), "")</f>
        <v/>
      </c>
      <c r="N187" s="2" t="str">
        <f t="array" ref="N187">IFERROR(INDEX(A:A,SMALL(IF($I$2:$I$450="ERROR", ROW($A$2:$A$450)),ROW()-1)), "")</f>
        <v/>
      </c>
      <c r="O187" s="2" t="str">
        <f t="array" ref="O187">IFERROR(INDEX(B:B,SMALL(IF($I$2:$I$450="ERROR", ROW($B$2:$B$450)),ROW()-1)), "")</f>
        <v/>
      </c>
      <c r="P187" s="5" t="str">
        <f t="array" ref="P187">IFERROR(INDEX(C:C,SMALL(IF($I$2:$I$450="ERROR", ROW($C$2:$C$450)),ROW()-1)), "")</f>
        <v/>
      </c>
      <c r="Q187" s="5" t="str">
        <f t="array" ref="Q187">IFERROR(INDEX(G:G,SMALL(IF($I$2:$I$450="ERROR", ROW($G$2:$G$450)),ROW()-1)), "")</f>
        <v/>
      </c>
      <c r="R187" s="8" t="str">
        <f t="shared" si="5"/>
        <v/>
      </c>
    </row>
    <row r="188" spans="1:18" x14ac:dyDescent="0.45">
      <c r="A188" s="3" t="s">
        <v>609</v>
      </c>
      <c r="B188" s="1" t="s">
        <v>188</v>
      </c>
      <c r="C188" s="5">
        <v>0.02</v>
      </c>
      <c r="D188" s="4">
        <v>17390</v>
      </c>
      <c r="E188" s="4">
        <v>17390</v>
      </c>
      <c r="F188" s="4">
        <v>17380</v>
      </c>
      <c r="G188" s="5">
        <v>5.750431282346176E-4</v>
      </c>
      <c r="H188" s="6"/>
      <c r="I188" s="2" t="str">
        <f t="shared" si="4"/>
        <v>-</v>
      </c>
      <c r="J188" s="1" t="str">
        <f>IF(I188="ERROR",BeepMe(),"")</f>
        <v/>
      </c>
      <c r="M188" s="2" t="str">
        <f t="array" ref="M188">IFERROR(INDEX(I:I,SMALL(IF($I$2:$I$450="ERROR", ROW($I$2:$I$450)),ROW()-1)), "")</f>
        <v/>
      </c>
      <c r="N188" s="2" t="str">
        <f t="array" ref="N188">IFERROR(INDEX(A:A,SMALL(IF($I$2:$I$450="ERROR", ROW($A$2:$A$450)),ROW()-1)), "")</f>
        <v/>
      </c>
      <c r="O188" s="2" t="str">
        <f t="array" ref="O188">IFERROR(INDEX(B:B,SMALL(IF($I$2:$I$450="ERROR", ROW($B$2:$B$450)),ROW()-1)), "")</f>
        <v/>
      </c>
      <c r="P188" s="5" t="str">
        <f t="array" ref="P188">IFERROR(INDEX(C:C,SMALL(IF($I$2:$I$450="ERROR", ROW($C$2:$C$450)),ROW()-1)), "")</f>
        <v/>
      </c>
      <c r="Q188" s="5" t="str">
        <f t="array" ref="Q188">IFERROR(INDEX(G:G,SMALL(IF($I$2:$I$450="ERROR", ROW($G$2:$G$450)),ROW()-1)), "")</f>
        <v/>
      </c>
      <c r="R188" s="8" t="str">
        <f t="shared" si="5"/>
        <v/>
      </c>
    </row>
    <row r="189" spans="1:18" x14ac:dyDescent="0.45">
      <c r="A189" s="3" t="s">
        <v>610</v>
      </c>
      <c r="B189" s="1" t="s">
        <v>189</v>
      </c>
      <c r="C189" s="5">
        <v>0.01</v>
      </c>
      <c r="D189" s="4">
        <v>10860</v>
      </c>
      <c r="E189" s="4">
        <v>10860</v>
      </c>
      <c r="F189" s="4">
        <v>10855</v>
      </c>
      <c r="G189" s="5">
        <v>4.6040515653775324E-4</v>
      </c>
      <c r="H189" s="6"/>
      <c r="I189" s="2" t="str">
        <f t="shared" si="4"/>
        <v>-</v>
      </c>
      <c r="J189" s="1" t="str">
        <f>IF(I189="ERROR",BeepMe(),"")</f>
        <v/>
      </c>
      <c r="M189" s="2" t="str">
        <f t="array" ref="M189">IFERROR(INDEX(I:I,SMALL(IF($I$2:$I$450="ERROR", ROW($I$2:$I$450)),ROW()-1)), "")</f>
        <v/>
      </c>
      <c r="N189" s="2" t="str">
        <f t="array" ref="N189">IFERROR(INDEX(A:A,SMALL(IF($I$2:$I$450="ERROR", ROW($A$2:$A$450)),ROW()-1)), "")</f>
        <v/>
      </c>
      <c r="O189" s="2" t="str">
        <f t="array" ref="O189">IFERROR(INDEX(B:B,SMALL(IF($I$2:$I$450="ERROR", ROW($B$2:$B$450)),ROW()-1)), "")</f>
        <v/>
      </c>
      <c r="P189" s="5" t="str">
        <f t="array" ref="P189">IFERROR(INDEX(C:C,SMALL(IF($I$2:$I$450="ERROR", ROW($C$2:$C$450)),ROW()-1)), "")</f>
        <v/>
      </c>
      <c r="Q189" s="5" t="str">
        <f t="array" ref="Q189">IFERROR(INDEX(G:G,SMALL(IF($I$2:$I$450="ERROR", ROW($G$2:$G$450)),ROW()-1)), "")</f>
        <v/>
      </c>
      <c r="R189" s="8" t="str">
        <f t="shared" si="5"/>
        <v/>
      </c>
    </row>
    <row r="190" spans="1:18" x14ac:dyDescent="0.45">
      <c r="A190" s="3" t="s">
        <v>611</v>
      </c>
      <c r="B190" s="1" t="s">
        <v>190</v>
      </c>
      <c r="C190" s="5">
        <v>0.01</v>
      </c>
      <c r="D190" s="4">
        <v>10785</v>
      </c>
      <c r="E190" s="4">
        <v>10795</v>
      </c>
      <c r="F190" s="4">
        <v>10785</v>
      </c>
      <c r="G190" s="5">
        <v>9.2721372276309685E-4</v>
      </c>
      <c r="H190" s="6"/>
      <c r="I190" s="2" t="str">
        <f t="shared" si="4"/>
        <v>-</v>
      </c>
      <c r="J190" s="1" t="str">
        <f>IF(I190="ERROR",BeepMe(),"")</f>
        <v/>
      </c>
      <c r="M190" s="2" t="str">
        <f t="array" ref="M190">IFERROR(INDEX(I:I,SMALL(IF($I$2:$I$450="ERROR", ROW($I$2:$I$450)),ROW()-1)), "")</f>
        <v/>
      </c>
      <c r="N190" s="2" t="str">
        <f t="array" ref="N190">IFERROR(INDEX(A:A,SMALL(IF($I$2:$I$450="ERROR", ROW($A$2:$A$450)),ROW()-1)), "")</f>
        <v/>
      </c>
      <c r="O190" s="2" t="str">
        <f t="array" ref="O190">IFERROR(INDEX(B:B,SMALL(IF($I$2:$I$450="ERROR", ROW($B$2:$B$450)),ROW()-1)), "")</f>
        <v/>
      </c>
      <c r="P190" s="5" t="str">
        <f t="array" ref="P190">IFERROR(INDEX(C:C,SMALL(IF($I$2:$I$450="ERROR", ROW($C$2:$C$450)),ROW()-1)), "")</f>
        <v/>
      </c>
      <c r="Q190" s="5" t="str">
        <f t="array" ref="Q190">IFERROR(INDEX(G:G,SMALL(IF($I$2:$I$450="ERROR", ROW($G$2:$G$450)),ROW()-1)), "")</f>
        <v/>
      </c>
      <c r="R190" s="8" t="str">
        <f t="shared" si="5"/>
        <v/>
      </c>
    </row>
    <row r="191" spans="1:18" x14ac:dyDescent="0.45">
      <c r="A191" s="3" t="s">
        <v>612</v>
      </c>
      <c r="B191" s="1" t="s">
        <v>191</v>
      </c>
      <c r="C191" s="5">
        <v>0.01</v>
      </c>
      <c r="D191" s="4">
        <v>8195</v>
      </c>
      <c r="E191" s="4">
        <v>8195</v>
      </c>
      <c r="F191" s="4">
        <v>8190</v>
      </c>
      <c r="G191" s="5">
        <v>6.1012812690665037E-4</v>
      </c>
      <c r="H191" s="6"/>
      <c r="I191" s="2" t="str">
        <f t="shared" si="4"/>
        <v>-</v>
      </c>
      <c r="J191" s="1" t="str">
        <f>IF(I191="ERROR",BeepMe(),"")</f>
        <v/>
      </c>
      <c r="M191" s="2" t="str">
        <f t="array" ref="M191">IFERROR(INDEX(I:I,SMALL(IF($I$2:$I$450="ERROR", ROW($I$2:$I$450)),ROW()-1)), "")</f>
        <v/>
      </c>
      <c r="N191" s="2" t="str">
        <f t="array" ref="N191">IFERROR(INDEX(A:A,SMALL(IF($I$2:$I$450="ERROR", ROW($A$2:$A$450)),ROW()-1)), "")</f>
        <v/>
      </c>
      <c r="O191" s="2" t="str">
        <f t="array" ref="O191">IFERROR(INDEX(B:B,SMALL(IF($I$2:$I$450="ERROR", ROW($B$2:$B$450)),ROW()-1)), "")</f>
        <v/>
      </c>
      <c r="P191" s="5" t="str">
        <f t="array" ref="P191">IFERROR(INDEX(C:C,SMALL(IF($I$2:$I$450="ERROR", ROW($C$2:$C$450)),ROW()-1)), "")</f>
        <v/>
      </c>
      <c r="Q191" s="5" t="str">
        <f t="array" ref="Q191">IFERROR(INDEX(G:G,SMALL(IF($I$2:$I$450="ERROR", ROW($G$2:$G$450)),ROW()-1)), "")</f>
        <v/>
      </c>
      <c r="R191" s="8" t="str">
        <f t="shared" si="5"/>
        <v/>
      </c>
    </row>
    <row r="192" spans="1:18" x14ac:dyDescent="0.45">
      <c r="A192" s="3" t="s">
        <v>613</v>
      </c>
      <c r="B192" s="1" t="s">
        <v>192</v>
      </c>
      <c r="C192" s="5">
        <v>0.01</v>
      </c>
      <c r="D192" s="4">
        <v>9330</v>
      </c>
      <c r="E192" s="4">
        <v>9330</v>
      </c>
      <c r="F192" s="4">
        <v>9325</v>
      </c>
      <c r="G192" s="5">
        <v>5.3590568060021436E-4</v>
      </c>
      <c r="H192" s="6"/>
      <c r="I192" s="2" t="str">
        <f t="shared" si="4"/>
        <v>-</v>
      </c>
      <c r="J192" s="1" t="str">
        <f>IF(I192="ERROR",BeepMe(),"")</f>
        <v/>
      </c>
      <c r="M192" s="2" t="str">
        <f t="array" ref="M192">IFERROR(INDEX(I:I,SMALL(IF($I$2:$I$450="ERROR", ROW($I$2:$I$450)),ROW()-1)), "")</f>
        <v/>
      </c>
      <c r="N192" s="2" t="str">
        <f t="array" ref="N192">IFERROR(INDEX(A:A,SMALL(IF($I$2:$I$450="ERROR", ROW($A$2:$A$450)),ROW()-1)), "")</f>
        <v/>
      </c>
      <c r="O192" s="2" t="str">
        <f t="array" ref="O192">IFERROR(INDEX(B:B,SMALL(IF($I$2:$I$450="ERROR", ROW($B$2:$B$450)),ROW()-1)), "")</f>
        <v/>
      </c>
      <c r="P192" s="5" t="str">
        <f t="array" ref="P192">IFERROR(INDEX(C:C,SMALL(IF($I$2:$I$450="ERROR", ROW($C$2:$C$450)),ROW()-1)), "")</f>
        <v/>
      </c>
      <c r="Q192" s="5" t="str">
        <f t="array" ref="Q192">IFERROR(INDEX(G:G,SMALL(IF($I$2:$I$450="ERROR", ROW($G$2:$G$450)),ROW()-1)), "")</f>
        <v/>
      </c>
      <c r="R192" s="8" t="str">
        <f t="shared" si="5"/>
        <v/>
      </c>
    </row>
    <row r="193" spans="1:18" x14ac:dyDescent="0.45">
      <c r="A193" s="3" t="s">
        <v>614</v>
      </c>
      <c r="B193" s="1" t="s">
        <v>193</v>
      </c>
      <c r="C193" s="5">
        <v>0.01</v>
      </c>
      <c r="D193" s="4">
        <v>12740</v>
      </c>
      <c r="E193" s="4">
        <v>12765</v>
      </c>
      <c r="F193" s="4">
        <v>12745</v>
      </c>
      <c r="G193" s="5">
        <v>1.5698587127158557E-3</v>
      </c>
      <c r="H193" s="6"/>
      <c r="I193" s="2" t="str">
        <f t="shared" si="4"/>
        <v>-</v>
      </c>
      <c r="J193" s="1" t="str">
        <f>IF(I193="ERROR",BeepMe(),"")</f>
        <v/>
      </c>
      <c r="M193" s="2" t="str">
        <f t="array" ref="M193">IFERROR(INDEX(I:I,SMALL(IF($I$2:$I$450="ERROR", ROW($I$2:$I$450)),ROW()-1)), "")</f>
        <v/>
      </c>
      <c r="N193" s="2" t="str">
        <f t="array" ref="N193">IFERROR(INDEX(A:A,SMALL(IF($I$2:$I$450="ERROR", ROW($A$2:$A$450)),ROW()-1)), "")</f>
        <v/>
      </c>
      <c r="O193" s="2" t="str">
        <f t="array" ref="O193">IFERROR(INDEX(B:B,SMALL(IF($I$2:$I$450="ERROR", ROW($B$2:$B$450)),ROW()-1)), "")</f>
        <v/>
      </c>
      <c r="P193" s="5" t="str">
        <f t="array" ref="P193">IFERROR(INDEX(C:C,SMALL(IF($I$2:$I$450="ERROR", ROW($C$2:$C$450)),ROW()-1)), "")</f>
        <v/>
      </c>
      <c r="Q193" s="5" t="str">
        <f t="array" ref="Q193">IFERROR(INDEX(G:G,SMALL(IF($I$2:$I$450="ERROR", ROW($G$2:$G$450)),ROW()-1)), "")</f>
        <v/>
      </c>
      <c r="R193" s="8" t="str">
        <f t="shared" si="5"/>
        <v/>
      </c>
    </row>
    <row r="194" spans="1:18" x14ac:dyDescent="0.45">
      <c r="A194" s="3" t="s">
        <v>615</v>
      </c>
      <c r="B194" s="1" t="s">
        <v>194</v>
      </c>
      <c r="C194" s="5">
        <v>0.02</v>
      </c>
      <c r="D194" s="4">
        <v>10230</v>
      </c>
      <c r="E194" s="4">
        <v>10230</v>
      </c>
      <c r="F194" s="4">
        <v>10205</v>
      </c>
      <c r="G194" s="5">
        <v>2.4437927663734115E-3</v>
      </c>
      <c r="H194" s="6"/>
      <c r="I194" s="2" t="str">
        <f t="shared" si="4"/>
        <v>-</v>
      </c>
      <c r="J194" s="1" t="str">
        <f>IF(I194="ERROR",BeepMe(),"")</f>
        <v/>
      </c>
      <c r="M194" s="2" t="str">
        <f t="array" ref="M194">IFERROR(INDEX(I:I,SMALL(IF($I$2:$I$450="ERROR", ROW($I$2:$I$450)),ROW()-1)), "")</f>
        <v/>
      </c>
      <c r="N194" s="2" t="str">
        <f t="array" ref="N194">IFERROR(INDEX(A:A,SMALL(IF($I$2:$I$450="ERROR", ROW($A$2:$A$450)),ROW()-1)), "")</f>
        <v/>
      </c>
      <c r="O194" s="2" t="str">
        <f t="array" ref="O194">IFERROR(INDEX(B:B,SMALL(IF($I$2:$I$450="ERROR", ROW($B$2:$B$450)),ROW()-1)), "")</f>
        <v/>
      </c>
      <c r="P194" s="5" t="str">
        <f t="array" ref="P194">IFERROR(INDEX(C:C,SMALL(IF($I$2:$I$450="ERROR", ROW($C$2:$C$450)),ROW()-1)), "")</f>
        <v/>
      </c>
      <c r="Q194" s="5" t="str">
        <f t="array" ref="Q194">IFERROR(INDEX(G:G,SMALL(IF($I$2:$I$450="ERROR", ROW($G$2:$G$450)),ROW()-1)), "")</f>
        <v/>
      </c>
      <c r="R194" s="8" t="str">
        <f t="shared" si="5"/>
        <v/>
      </c>
    </row>
    <row r="195" spans="1:18" x14ac:dyDescent="0.45">
      <c r="A195" s="3" t="s">
        <v>616</v>
      </c>
      <c r="B195" s="1" t="s">
        <v>195</v>
      </c>
      <c r="C195" s="5">
        <v>0.02</v>
      </c>
      <c r="D195" s="4">
        <v>9040</v>
      </c>
      <c r="E195" s="4">
        <v>9040</v>
      </c>
      <c r="F195" s="4">
        <v>9035</v>
      </c>
      <c r="G195" s="5">
        <v>5.5309734513274336E-4</v>
      </c>
      <c r="H195" s="6"/>
      <c r="I195" s="2" t="str">
        <f t="shared" ref="I195:I258" si="6">IF(G195&gt;C195, "ERROR", "-")</f>
        <v>-</v>
      </c>
      <c r="J195" s="1" t="str">
        <f>IF(I195="ERROR",BeepMe(),"")</f>
        <v/>
      </c>
      <c r="M195" s="2" t="str">
        <f t="array" ref="M195">IFERROR(INDEX(I:I,SMALL(IF($I$2:$I$450="ERROR", ROW($I$2:$I$450)),ROW()-1)), "")</f>
        <v/>
      </c>
      <c r="N195" s="2" t="str">
        <f t="array" ref="N195">IFERROR(INDEX(A:A,SMALL(IF($I$2:$I$450="ERROR", ROW($A$2:$A$450)),ROW()-1)), "")</f>
        <v/>
      </c>
      <c r="O195" s="2" t="str">
        <f t="array" ref="O195">IFERROR(INDEX(B:B,SMALL(IF($I$2:$I$450="ERROR", ROW($B$2:$B$450)),ROW()-1)), "")</f>
        <v/>
      </c>
      <c r="P195" s="5" t="str">
        <f t="array" ref="P195">IFERROR(INDEX(C:C,SMALL(IF($I$2:$I$450="ERROR", ROW($C$2:$C$450)),ROW()-1)), "")</f>
        <v/>
      </c>
      <c r="Q195" s="5" t="str">
        <f t="array" ref="Q195">IFERROR(INDEX(G:G,SMALL(IF($I$2:$I$450="ERROR", ROW($G$2:$G$450)),ROW()-1)), "")</f>
        <v/>
      </c>
      <c r="R195" s="8" t="str">
        <f t="shared" ref="R195:R258" si="7">IFERROR(Q195-P195,"")</f>
        <v/>
      </c>
    </row>
    <row r="196" spans="1:18" x14ac:dyDescent="0.45">
      <c r="A196" s="3" t="s">
        <v>617</v>
      </c>
      <c r="B196" s="1" t="s">
        <v>196</v>
      </c>
      <c r="C196" s="5">
        <v>0.02</v>
      </c>
      <c r="D196" s="4">
        <v>9710</v>
      </c>
      <c r="E196" s="4">
        <v>9710</v>
      </c>
      <c r="F196" s="4">
        <v>9705</v>
      </c>
      <c r="G196" s="5">
        <v>5.1493305870236867E-4</v>
      </c>
      <c r="H196" s="6"/>
      <c r="I196" s="2" t="str">
        <f t="shared" si="6"/>
        <v>-</v>
      </c>
      <c r="J196" s="1" t="str">
        <f>IF(I196="ERROR",BeepMe(),"")</f>
        <v/>
      </c>
      <c r="M196" s="2" t="str">
        <f t="array" ref="M196">IFERROR(INDEX(I:I,SMALL(IF($I$2:$I$450="ERROR", ROW($I$2:$I$450)),ROW()-1)), "")</f>
        <v/>
      </c>
      <c r="N196" s="2" t="str">
        <f t="array" ref="N196">IFERROR(INDEX(A:A,SMALL(IF($I$2:$I$450="ERROR", ROW($A$2:$A$450)),ROW()-1)), "")</f>
        <v/>
      </c>
      <c r="O196" s="2" t="str">
        <f t="array" ref="O196">IFERROR(INDEX(B:B,SMALL(IF($I$2:$I$450="ERROR", ROW($B$2:$B$450)),ROW()-1)), "")</f>
        <v/>
      </c>
      <c r="P196" s="5" t="str">
        <f t="array" ref="P196">IFERROR(INDEX(C:C,SMALL(IF($I$2:$I$450="ERROR", ROW($C$2:$C$450)),ROW()-1)), "")</f>
        <v/>
      </c>
      <c r="Q196" s="5" t="str">
        <f t="array" ref="Q196">IFERROR(INDEX(G:G,SMALL(IF($I$2:$I$450="ERROR", ROW($G$2:$G$450)),ROW()-1)), "")</f>
        <v/>
      </c>
      <c r="R196" s="8" t="str">
        <f t="shared" si="7"/>
        <v/>
      </c>
    </row>
    <row r="197" spans="1:18" x14ac:dyDescent="0.45">
      <c r="A197" s="3" t="s">
        <v>618</v>
      </c>
      <c r="B197" s="1" t="s">
        <v>197</v>
      </c>
      <c r="C197" s="5">
        <v>0.02</v>
      </c>
      <c r="D197" s="4">
        <v>7650</v>
      </c>
      <c r="E197" s="4">
        <v>7655</v>
      </c>
      <c r="F197" s="4">
        <v>7650</v>
      </c>
      <c r="G197" s="5">
        <v>6.5359477124183002E-4</v>
      </c>
      <c r="H197" s="6"/>
      <c r="I197" s="2" t="str">
        <f t="shared" si="6"/>
        <v>-</v>
      </c>
      <c r="J197" s="1" t="str">
        <f>IF(I197="ERROR",BeepMe(),"")</f>
        <v/>
      </c>
      <c r="M197" s="2" t="str">
        <f t="array" ref="M197">IFERROR(INDEX(I:I,SMALL(IF($I$2:$I$450="ERROR", ROW($I$2:$I$450)),ROW()-1)), "")</f>
        <v/>
      </c>
      <c r="N197" s="2" t="str">
        <f t="array" ref="N197">IFERROR(INDEX(A:A,SMALL(IF($I$2:$I$450="ERROR", ROW($A$2:$A$450)),ROW()-1)), "")</f>
        <v/>
      </c>
      <c r="O197" s="2" t="str">
        <f t="array" ref="O197">IFERROR(INDEX(B:B,SMALL(IF($I$2:$I$450="ERROR", ROW($B$2:$B$450)),ROW()-1)), "")</f>
        <v/>
      </c>
      <c r="P197" s="5" t="str">
        <f t="array" ref="P197">IFERROR(INDEX(C:C,SMALL(IF($I$2:$I$450="ERROR", ROW($C$2:$C$450)),ROW()-1)), "")</f>
        <v/>
      </c>
      <c r="Q197" s="5" t="str">
        <f t="array" ref="Q197">IFERROR(INDEX(G:G,SMALL(IF($I$2:$I$450="ERROR", ROW($G$2:$G$450)),ROW()-1)), "")</f>
        <v/>
      </c>
      <c r="R197" s="8" t="str">
        <f t="shared" si="7"/>
        <v/>
      </c>
    </row>
    <row r="198" spans="1:18" x14ac:dyDescent="0.45">
      <c r="A198" s="3" t="s">
        <v>619</v>
      </c>
      <c r="B198" s="1" t="s">
        <v>198</v>
      </c>
      <c r="C198" s="5">
        <v>0.01</v>
      </c>
      <c r="D198" s="4">
        <v>14370</v>
      </c>
      <c r="E198" s="4">
        <v>14370</v>
      </c>
      <c r="F198" s="4">
        <v>14365</v>
      </c>
      <c r="G198" s="5">
        <v>3.479471120389701E-4</v>
      </c>
      <c r="H198" s="6"/>
      <c r="I198" s="2" t="str">
        <f t="shared" si="6"/>
        <v>-</v>
      </c>
      <c r="J198" s="1" t="str">
        <f>IF(I198="ERROR",BeepMe(),"")</f>
        <v/>
      </c>
      <c r="M198" s="2" t="str">
        <f t="array" ref="M198">IFERROR(INDEX(I:I,SMALL(IF($I$2:$I$450="ERROR", ROW($I$2:$I$450)),ROW()-1)), "")</f>
        <v/>
      </c>
      <c r="N198" s="2" t="str">
        <f t="array" ref="N198">IFERROR(INDEX(A:A,SMALL(IF($I$2:$I$450="ERROR", ROW($A$2:$A$450)),ROW()-1)), "")</f>
        <v/>
      </c>
      <c r="O198" s="2" t="str">
        <f t="array" ref="O198">IFERROR(INDEX(B:B,SMALL(IF($I$2:$I$450="ERROR", ROW($B$2:$B$450)),ROW()-1)), "")</f>
        <v/>
      </c>
      <c r="P198" s="5" t="str">
        <f t="array" ref="P198">IFERROR(INDEX(C:C,SMALL(IF($I$2:$I$450="ERROR", ROW($C$2:$C$450)),ROW()-1)), "")</f>
        <v/>
      </c>
      <c r="Q198" s="5" t="str">
        <f t="array" ref="Q198">IFERROR(INDEX(G:G,SMALL(IF($I$2:$I$450="ERROR", ROW($G$2:$G$450)),ROW()-1)), "")</f>
        <v/>
      </c>
      <c r="R198" s="8" t="str">
        <f t="shared" si="7"/>
        <v/>
      </c>
    </row>
    <row r="199" spans="1:18" x14ac:dyDescent="0.45">
      <c r="A199" s="3" t="s">
        <v>620</v>
      </c>
      <c r="B199" s="1" t="s">
        <v>199</v>
      </c>
      <c r="C199" s="5">
        <v>0.01</v>
      </c>
      <c r="D199" s="4">
        <v>12710</v>
      </c>
      <c r="E199" s="4">
        <v>12710</v>
      </c>
      <c r="F199" s="4">
        <v>12615</v>
      </c>
      <c r="G199" s="5">
        <v>7.4744295830055079E-3</v>
      </c>
      <c r="H199" s="6"/>
      <c r="I199" s="2" t="str">
        <f t="shared" si="6"/>
        <v>-</v>
      </c>
      <c r="J199" s="1" t="str">
        <f>IF(I199="ERROR",BeepMe(),"")</f>
        <v/>
      </c>
      <c r="M199" s="2" t="str">
        <f t="array" ref="M199">IFERROR(INDEX(I:I,SMALL(IF($I$2:$I$450="ERROR", ROW($I$2:$I$450)),ROW()-1)), "")</f>
        <v/>
      </c>
      <c r="N199" s="2" t="str">
        <f t="array" ref="N199">IFERROR(INDEX(A:A,SMALL(IF($I$2:$I$450="ERROR", ROW($A$2:$A$450)),ROW()-1)), "")</f>
        <v/>
      </c>
      <c r="O199" s="2" t="str">
        <f t="array" ref="O199">IFERROR(INDEX(B:B,SMALL(IF($I$2:$I$450="ERROR", ROW($B$2:$B$450)),ROW()-1)), "")</f>
        <v/>
      </c>
      <c r="P199" s="5" t="str">
        <f t="array" ref="P199">IFERROR(INDEX(C:C,SMALL(IF($I$2:$I$450="ERROR", ROW($C$2:$C$450)),ROW()-1)), "")</f>
        <v/>
      </c>
      <c r="Q199" s="5" t="str">
        <f t="array" ref="Q199">IFERROR(INDEX(G:G,SMALL(IF($I$2:$I$450="ERROR", ROW($G$2:$G$450)),ROW()-1)), "")</f>
        <v/>
      </c>
      <c r="R199" s="8" t="str">
        <f t="shared" si="7"/>
        <v/>
      </c>
    </row>
    <row r="200" spans="1:18" x14ac:dyDescent="0.45">
      <c r="A200" s="3" t="s">
        <v>621</v>
      </c>
      <c r="B200" s="1" t="s">
        <v>200</v>
      </c>
      <c r="C200" s="5">
        <v>0.01</v>
      </c>
      <c r="D200" s="4">
        <v>18480</v>
      </c>
      <c r="E200" s="4">
        <v>18480</v>
      </c>
      <c r="F200" s="4">
        <v>18475</v>
      </c>
      <c r="G200" s="5">
        <v>2.7056277056277056E-4</v>
      </c>
      <c r="H200" s="6"/>
      <c r="I200" s="2" t="str">
        <f t="shared" si="6"/>
        <v>-</v>
      </c>
      <c r="J200" s="1" t="str">
        <f>IF(I200="ERROR",BeepMe(),"")</f>
        <v/>
      </c>
      <c r="M200" s="2" t="str">
        <f t="array" ref="M200">IFERROR(INDEX(I:I,SMALL(IF($I$2:$I$450="ERROR", ROW($I$2:$I$450)),ROW()-1)), "")</f>
        <v/>
      </c>
      <c r="N200" s="2" t="str">
        <f t="array" ref="N200">IFERROR(INDEX(A:A,SMALL(IF($I$2:$I$450="ERROR", ROW($A$2:$A$450)),ROW()-1)), "")</f>
        <v/>
      </c>
      <c r="O200" s="2" t="str">
        <f t="array" ref="O200">IFERROR(INDEX(B:B,SMALL(IF($I$2:$I$450="ERROR", ROW($B$2:$B$450)),ROW()-1)), "")</f>
        <v/>
      </c>
      <c r="P200" s="5" t="str">
        <f t="array" ref="P200">IFERROR(INDEX(C:C,SMALL(IF($I$2:$I$450="ERROR", ROW($C$2:$C$450)),ROW()-1)), "")</f>
        <v/>
      </c>
      <c r="Q200" s="5" t="str">
        <f t="array" ref="Q200">IFERROR(INDEX(G:G,SMALL(IF($I$2:$I$450="ERROR", ROW($G$2:$G$450)),ROW()-1)), "")</f>
        <v/>
      </c>
      <c r="R200" s="8" t="str">
        <f t="shared" si="7"/>
        <v/>
      </c>
    </row>
    <row r="201" spans="1:18" x14ac:dyDescent="0.45">
      <c r="A201" s="3" t="s">
        <v>622</v>
      </c>
      <c r="B201" s="1" t="s">
        <v>201</v>
      </c>
      <c r="C201" s="5">
        <v>5.0000000000000001E-3</v>
      </c>
      <c r="D201" s="4">
        <v>15635</v>
      </c>
      <c r="E201" s="4">
        <v>15650</v>
      </c>
      <c r="F201" s="4">
        <v>15635</v>
      </c>
      <c r="G201" s="5">
        <v>9.5938599296450271E-4</v>
      </c>
      <c r="H201" s="6"/>
      <c r="I201" s="2" t="str">
        <f t="shared" si="6"/>
        <v>-</v>
      </c>
      <c r="J201" s="1" t="str">
        <f>IF(I201="ERROR",BeepMe(),"")</f>
        <v/>
      </c>
      <c r="M201" s="2" t="str">
        <f t="array" ref="M201">IFERROR(INDEX(I:I,SMALL(IF($I$2:$I$450="ERROR", ROW($I$2:$I$450)),ROW()-1)), "")</f>
        <v/>
      </c>
      <c r="N201" s="2" t="str">
        <f t="array" ref="N201">IFERROR(INDEX(A:A,SMALL(IF($I$2:$I$450="ERROR", ROW($A$2:$A$450)),ROW()-1)), "")</f>
        <v/>
      </c>
      <c r="O201" s="2" t="str">
        <f t="array" ref="O201">IFERROR(INDEX(B:B,SMALL(IF($I$2:$I$450="ERROR", ROW($B$2:$B$450)),ROW()-1)), "")</f>
        <v/>
      </c>
      <c r="P201" s="5" t="str">
        <f t="array" ref="P201">IFERROR(INDEX(C:C,SMALL(IF($I$2:$I$450="ERROR", ROW($C$2:$C$450)),ROW()-1)), "")</f>
        <v/>
      </c>
      <c r="Q201" s="5" t="str">
        <f t="array" ref="Q201">IFERROR(INDEX(G:G,SMALL(IF($I$2:$I$450="ERROR", ROW($G$2:$G$450)),ROW()-1)), "")</f>
        <v/>
      </c>
      <c r="R201" s="8" t="str">
        <f t="shared" si="7"/>
        <v/>
      </c>
    </row>
    <row r="202" spans="1:18" x14ac:dyDescent="0.45">
      <c r="A202" s="3" t="s">
        <v>623</v>
      </c>
      <c r="B202" s="1" t="s">
        <v>202</v>
      </c>
      <c r="C202" s="5">
        <v>0.01</v>
      </c>
      <c r="D202" s="4">
        <v>12650</v>
      </c>
      <c r="E202" s="4">
        <v>12650</v>
      </c>
      <c r="F202" s="4">
        <v>12605</v>
      </c>
      <c r="G202" s="5">
        <v>3.5573122529644267E-3</v>
      </c>
      <c r="H202" s="6"/>
      <c r="I202" s="2" t="str">
        <f t="shared" si="6"/>
        <v>-</v>
      </c>
      <c r="J202" s="1" t="str">
        <f>IF(I202="ERROR",BeepMe(),"")</f>
        <v/>
      </c>
      <c r="M202" s="2" t="str">
        <f t="array" ref="M202">IFERROR(INDEX(I:I,SMALL(IF($I$2:$I$450="ERROR", ROW($I$2:$I$450)),ROW()-1)), "")</f>
        <v/>
      </c>
      <c r="N202" s="2" t="str">
        <f t="array" ref="N202">IFERROR(INDEX(A:A,SMALL(IF($I$2:$I$450="ERROR", ROW($A$2:$A$450)),ROW()-1)), "")</f>
        <v/>
      </c>
      <c r="O202" s="2" t="str">
        <f t="array" ref="O202">IFERROR(INDEX(B:B,SMALL(IF($I$2:$I$450="ERROR", ROW($B$2:$B$450)),ROW()-1)), "")</f>
        <v/>
      </c>
      <c r="P202" s="5" t="str">
        <f t="array" ref="P202">IFERROR(INDEX(C:C,SMALL(IF($I$2:$I$450="ERROR", ROW($C$2:$C$450)),ROW()-1)), "")</f>
        <v/>
      </c>
      <c r="Q202" s="5" t="str">
        <f t="array" ref="Q202">IFERROR(INDEX(G:G,SMALL(IF($I$2:$I$450="ERROR", ROW($G$2:$G$450)),ROW()-1)), "")</f>
        <v/>
      </c>
      <c r="R202" s="8" t="str">
        <f t="shared" si="7"/>
        <v/>
      </c>
    </row>
    <row r="203" spans="1:18" x14ac:dyDescent="0.45">
      <c r="A203" s="3" t="s">
        <v>624</v>
      </c>
      <c r="B203" s="1" t="s">
        <v>203</v>
      </c>
      <c r="C203" s="5">
        <v>0.02</v>
      </c>
      <c r="D203" s="4">
        <v>4580</v>
      </c>
      <c r="E203" s="4">
        <v>4580</v>
      </c>
      <c r="F203" s="4">
        <v>4575</v>
      </c>
      <c r="G203" s="5">
        <v>1.0917030567685589E-3</v>
      </c>
      <c r="H203" s="6"/>
      <c r="I203" s="2" t="str">
        <f t="shared" si="6"/>
        <v>-</v>
      </c>
      <c r="J203" s="1" t="str">
        <f>IF(I203="ERROR",BeepMe(),"")</f>
        <v/>
      </c>
      <c r="M203" s="2" t="str">
        <f t="array" ref="M203">IFERROR(INDEX(I:I,SMALL(IF($I$2:$I$450="ERROR", ROW($I$2:$I$450)),ROW()-1)), "")</f>
        <v/>
      </c>
      <c r="N203" s="2" t="str">
        <f t="array" ref="N203">IFERROR(INDEX(A:A,SMALL(IF($I$2:$I$450="ERROR", ROW($A$2:$A$450)),ROW()-1)), "")</f>
        <v/>
      </c>
      <c r="O203" s="2" t="str">
        <f t="array" ref="O203">IFERROR(INDEX(B:B,SMALL(IF($I$2:$I$450="ERROR", ROW($B$2:$B$450)),ROW()-1)), "")</f>
        <v/>
      </c>
      <c r="P203" s="5" t="str">
        <f t="array" ref="P203">IFERROR(INDEX(C:C,SMALL(IF($I$2:$I$450="ERROR", ROW($C$2:$C$450)),ROW()-1)), "")</f>
        <v/>
      </c>
      <c r="Q203" s="5" t="str">
        <f t="array" ref="Q203">IFERROR(INDEX(G:G,SMALL(IF($I$2:$I$450="ERROR", ROW($G$2:$G$450)),ROW()-1)), "")</f>
        <v/>
      </c>
      <c r="R203" s="8" t="str">
        <f t="shared" si="7"/>
        <v/>
      </c>
    </row>
    <row r="204" spans="1:18" x14ac:dyDescent="0.45">
      <c r="A204" s="3" t="s">
        <v>625</v>
      </c>
      <c r="B204" s="1" t="s">
        <v>204</v>
      </c>
      <c r="C204" s="5">
        <v>5.0000000000000001E-3</v>
      </c>
      <c r="D204" s="4">
        <v>15400</v>
      </c>
      <c r="E204" s="4">
        <v>15410</v>
      </c>
      <c r="F204" s="4">
        <v>15360</v>
      </c>
      <c r="G204" s="5">
        <v>3.246753246753247E-3</v>
      </c>
      <c r="H204" s="6"/>
      <c r="I204" s="2" t="str">
        <f t="shared" si="6"/>
        <v>-</v>
      </c>
      <c r="J204" s="1" t="str">
        <f>IF(I204="ERROR",BeepMe(),"")</f>
        <v/>
      </c>
      <c r="M204" s="2" t="str">
        <f t="array" ref="M204">IFERROR(INDEX(I:I,SMALL(IF($I$2:$I$450="ERROR", ROW($I$2:$I$450)),ROW()-1)), "")</f>
        <v/>
      </c>
      <c r="N204" s="2" t="str">
        <f t="array" ref="N204">IFERROR(INDEX(A:A,SMALL(IF($I$2:$I$450="ERROR", ROW($A$2:$A$450)),ROW()-1)), "")</f>
        <v/>
      </c>
      <c r="O204" s="2" t="str">
        <f t="array" ref="O204">IFERROR(INDEX(B:B,SMALL(IF($I$2:$I$450="ERROR", ROW($B$2:$B$450)),ROW()-1)), "")</f>
        <v/>
      </c>
      <c r="P204" s="5" t="str">
        <f t="array" ref="P204">IFERROR(INDEX(C:C,SMALL(IF($I$2:$I$450="ERROR", ROW($C$2:$C$450)),ROW()-1)), "")</f>
        <v/>
      </c>
      <c r="Q204" s="5" t="str">
        <f t="array" ref="Q204">IFERROR(INDEX(G:G,SMALL(IF($I$2:$I$450="ERROR", ROW($G$2:$G$450)),ROW()-1)), "")</f>
        <v/>
      </c>
      <c r="R204" s="8" t="str">
        <f t="shared" si="7"/>
        <v/>
      </c>
    </row>
    <row r="205" spans="1:18" x14ac:dyDescent="0.45">
      <c r="A205" s="3" t="s">
        <v>626</v>
      </c>
      <c r="B205" s="1" t="s">
        <v>205</v>
      </c>
      <c r="C205" s="5">
        <v>5.0000000000000001E-3</v>
      </c>
      <c r="D205" s="4">
        <v>13910</v>
      </c>
      <c r="E205" s="4">
        <v>13920</v>
      </c>
      <c r="F205" s="4">
        <v>13865</v>
      </c>
      <c r="G205" s="5">
        <v>3.9539899352983464E-3</v>
      </c>
      <c r="H205" s="6"/>
      <c r="I205" s="2" t="str">
        <f t="shared" si="6"/>
        <v>-</v>
      </c>
      <c r="J205" s="1" t="str">
        <f>IF(I205="ERROR",BeepMe(),"")</f>
        <v/>
      </c>
      <c r="M205" s="2" t="str">
        <f t="array" ref="M205">IFERROR(INDEX(I:I,SMALL(IF($I$2:$I$450="ERROR", ROW($I$2:$I$450)),ROW()-1)), "")</f>
        <v/>
      </c>
      <c r="N205" s="2" t="str">
        <f t="array" ref="N205">IFERROR(INDEX(A:A,SMALL(IF($I$2:$I$450="ERROR", ROW($A$2:$A$450)),ROW()-1)), "")</f>
        <v/>
      </c>
      <c r="O205" s="2" t="str">
        <f t="array" ref="O205">IFERROR(INDEX(B:B,SMALL(IF($I$2:$I$450="ERROR", ROW($B$2:$B$450)),ROW()-1)), "")</f>
        <v/>
      </c>
      <c r="P205" s="5" t="str">
        <f t="array" ref="P205">IFERROR(INDEX(C:C,SMALL(IF($I$2:$I$450="ERROR", ROW($C$2:$C$450)),ROW()-1)), "")</f>
        <v/>
      </c>
      <c r="Q205" s="5" t="str">
        <f t="array" ref="Q205">IFERROR(INDEX(G:G,SMALL(IF($I$2:$I$450="ERROR", ROW($G$2:$G$450)),ROW()-1)), "")</f>
        <v/>
      </c>
      <c r="R205" s="8" t="str">
        <f t="shared" si="7"/>
        <v/>
      </c>
    </row>
    <row r="206" spans="1:18" x14ac:dyDescent="0.45">
      <c r="A206" s="3" t="s">
        <v>627</v>
      </c>
      <c r="B206" s="1" t="s">
        <v>206</v>
      </c>
      <c r="C206" s="5">
        <v>5.0000000000000001E-3</v>
      </c>
      <c r="D206" s="4">
        <v>102390</v>
      </c>
      <c r="E206" s="4">
        <v>102395</v>
      </c>
      <c r="F206" s="4">
        <v>102390</v>
      </c>
      <c r="G206" s="5">
        <v>4.8832893837288801E-5</v>
      </c>
      <c r="H206" s="6"/>
      <c r="I206" s="2" t="str">
        <f t="shared" si="6"/>
        <v>-</v>
      </c>
      <c r="J206" s="1" t="str">
        <f>IF(I206="ERROR",BeepMe(),"")</f>
        <v/>
      </c>
      <c r="M206" s="2" t="str">
        <f t="array" ref="M206">IFERROR(INDEX(I:I,SMALL(IF($I$2:$I$450="ERROR", ROW($I$2:$I$450)),ROW()-1)), "")</f>
        <v/>
      </c>
      <c r="N206" s="2" t="str">
        <f t="array" ref="N206">IFERROR(INDEX(A:A,SMALL(IF($I$2:$I$450="ERROR", ROW($A$2:$A$450)),ROW()-1)), "")</f>
        <v/>
      </c>
      <c r="O206" s="2" t="str">
        <f t="array" ref="O206">IFERROR(INDEX(B:B,SMALL(IF($I$2:$I$450="ERROR", ROW($B$2:$B$450)),ROW()-1)), "")</f>
        <v/>
      </c>
      <c r="P206" s="5" t="str">
        <f t="array" ref="P206">IFERROR(INDEX(C:C,SMALL(IF($I$2:$I$450="ERROR", ROW($C$2:$C$450)),ROW()-1)), "")</f>
        <v/>
      </c>
      <c r="Q206" s="5" t="str">
        <f t="array" ref="Q206">IFERROR(INDEX(G:G,SMALL(IF($I$2:$I$450="ERROR", ROW($G$2:$G$450)),ROW()-1)), "")</f>
        <v/>
      </c>
      <c r="R206" s="8" t="str">
        <f t="shared" si="7"/>
        <v/>
      </c>
    </row>
    <row r="207" spans="1:18" x14ac:dyDescent="0.45">
      <c r="A207" s="3" t="s">
        <v>628</v>
      </c>
      <c r="B207" s="1" t="s">
        <v>207</v>
      </c>
      <c r="C207" s="5">
        <v>5.0000000000000001E-3</v>
      </c>
      <c r="D207" s="4">
        <v>98910</v>
      </c>
      <c r="E207" s="4">
        <v>98870</v>
      </c>
      <c r="F207" s="4">
        <v>98810</v>
      </c>
      <c r="G207" s="5">
        <v>6.0661207158022447E-4</v>
      </c>
      <c r="H207" s="6"/>
      <c r="I207" s="2" t="str">
        <f t="shared" si="6"/>
        <v>-</v>
      </c>
      <c r="J207" s="1" t="str">
        <f>IF(I207="ERROR",BeepMe(),"")</f>
        <v/>
      </c>
      <c r="M207" s="2" t="str">
        <f t="array" ref="M207">IFERROR(INDEX(I:I,SMALL(IF($I$2:$I$450="ERROR", ROW($I$2:$I$450)),ROW()-1)), "")</f>
        <v/>
      </c>
      <c r="N207" s="2" t="str">
        <f t="array" ref="N207">IFERROR(INDEX(A:A,SMALL(IF($I$2:$I$450="ERROR", ROW($A$2:$A$450)),ROW()-1)), "")</f>
        <v/>
      </c>
      <c r="O207" s="2" t="str">
        <f t="array" ref="O207">IFERROR(INDEX(B:B,SMALL(IF($I$2:$I$450="ERROR", ROW($B$2:$B$450)),ROW()-1)), "")</f>
        <v/>
      </c>
      <c r="P207" s="5" t="str">
        <f t="array" ref="P207">IFERROR(INDEX(C:C,SMALL(IF($I$2:$I$450="ERROR", ROW($C$2:$C$450)),ROW()-1)), "")</f>
        <v/>
      </c>
      <c r="Q207" s="5" t="str">
        <f t="array" ref="Q207">IFERROR(INDEX(G:G,SMALL(IF($I$2:$I$450="ERROR", ROW($G$2:$G$450)),ROW()-1)), "")</f>
        <v/>
      </c>
      <c r="R207" s="8" t="str">
        <f t="shared" si="7"/>
        <v/>
      </c>
    </row>
    <row r="208" spans="1:18" x14ac:dyDescent="0.45">
      <c r="A208" s="3" t="s">
        <v>629</v>
      </c>
      <c r="B208" s="1" t="s">
        <v>208</v>
      </c>
      <c r="C208" s="5">
        <v>5.0000000000000001E-3</v>
      </c>
      <c r="D208" s="4">
        <v>96375</v>
      </c>
      <c r="E208" s="4">
        <v>96415</v>
      </c>
      <c r="F208" s="4">
        <v>96355</v>
      </c>
      <c r="G208" s="5">
        <v>6.2256809338521405E-4</v>
      </c>
      <c r="H208" s="6"/>
      <c r="I208" s="2" t="str">
        <f t="shared" si="6"/>
        <v>-</v>
      </c>
      <c r="J208" s="1" t="str">
        <f>IF(I208="ERROR",BeepMe(),"")</f>
        <v/>
      </c>
      <c r="M208" s="2" t="str">
        <f t="array" ref="M208">IFERROR(INDEX(I:I,SMALL(IF($I$2:$I$450="ERROR", ROW($I$2:$I$450)),ROW()-1)), "")</f>
        <v/>
      </c>
      <c r="N208" s="2" t="str">
        <f t="array" ref="N208">IFERROR(INDEX(A:A,SMALL(IF($I$2:$I$450="ERROR", ROW($A$2:$A$450)),ROW()-1)), "")</f>
        <v/>
      </c>
      <c r="O208" s="2" t="str">
        <f t="array" ref="O208">IFERROR(INDEX(B:B,SMALL(IF($I$2:$I$450="ERROR", ROW($B$2:$B$450)),ROW()-1)), "")</f>
        <v/>
      </c>
      <c r="P208" s="5" t="str">
        <f t="array" ref="P208">IFERROR(INDEX(C:C,SMALL(IF($I$2:$I$450="ERROR", ROW($C$2:$C$450)),ROW()-1)), "")</f>
        <v/>
      </c>
      <c r="Q208" s="5" t="str">
        <f t="array" ref="Q208">IFERROR(INDEX(G:G,SMALL(IF($I$2:$I$450="ERROR", ROW($G$2:$G$450)),ROW()-1)), "")</f>
        <v/>
      </c>
      <c r="R208" s="8" t="str">
        <f t="shared" si="7"/>
        <v/>
      </c>
    </row>
    <row r="209" spans="1:18" x14ac:dyDescent="0.45">
      <c r="A209" s="3" t="s">
        <v>630</v>
      </c>
      <c r="B209" s="1" t="s">
        <v>209</v>
      </c>
      <c r="C209" s="5">
        <v>5.0000000000000001E-3</v>
      </c>
      <c r="D209" s="4">
        <v>103155</v>
      </c>
      <c r="E209" s="4">
        <v>103195</v>
      </c>
      <c r="F209" s="4">
        <v>103155</v>
      </c>
      <c r="G209" s="5">
        <v>3.8776598322912121E-4</v>
      </c>
      <c r="H209" s="6"/>
      <c r="I209" s="2" t="str">
        <f t="shared" si="6"/>
        <v>-</v>
      </c>
      <c r="J209" s="1" t="str">
        <f>IF(I209="ERROR",BeepMe(),"")</f>
        <v/>
      </c>
      <c r="M209" s="2" t="str">
        <f t="array" ref="M209">IFERROR(INDEX(I:I,SMALL(IF($I$2:$I$450="ERROR", ROW($I$2:$I$450)),ROW()-1)), "")</f>
        <v/>
      </c>
      <c r="N209" s="2" t="str">
        <f t="array" ref="N209">IFERROR(INDEX(A:A,SMALL(IF($I$2:$I$450="ERROR", ROW($A$2:$A$450)),ROW()-1)), "")</f>
        <v/>
      </c>
      <c r="O209" s="2" t="str">
        <f t="array" ref="O209">IFERROR(INDEX(B:B,SMALL(IF($I$2:$I$450="ERROR", ROW($B$2:$B$450)),ROW()-1)), "")</f>
        <v/>
      </c>
      <c r="P209" s="5" t="str">
        <f t="array" ref="P209">IFERROR(INDEX(C:C,SMALL(IF($I$2:$I$450="ERROR", ROW($C$2:$C$450)),ROW()-1)), "")</f>
        <v/>
      </c>
      <c r="Q209" s="5" t="str">
        <f t="array" ref="Q209">IFERROR(INDEX(G:G,SMALL(IF($I$2:$I$450="ERROR", ROW($G$2:$G$450)),ROW()-1)), "")</f>
        <v/>
      </c>
      <c r="R209" s="8" t="str">
        <f t="shared" si="7"/>
        <v/>
      </c>
    </row>
    <row r="210" spans="1:18" x14ac:dyDescent="0.45">
      <c r="A210" s="3" t="s">
        <v>631</v>
      </c>
      <c r="B210" s="1" t="s">
        <v>210</v>
      </c>
      <c r="C210" s="5">
        <v>5.0000000000000001E-3</v>
      </c>
      <c r="D210" s="4">
        <v>11630</v>
      </c>
      <c r="E210" s="4">
        <v>11630</v>
      </c>
      <c r="F210" s="4">
        <v>11585</v>
      </c>
      <c r="G210" s="5">
        <v>3.869303525365434E-3</v>
      </c>
      <c r="H210" s="6"/>
      <c r="I210" s="2" t="str">
        <f t="shared" si="6"/>
        <v>-</v>
      </c>
      <c r="J210" s="1" t="str">
        <f>IF(I210="ERROR",BeepMe(),"")</f>
        <v/>
      </c>
      <c r="M210" s="2" t="str">
        <f t="array" ref="M210">IFERROR(INDEX(I:I,SMALL(IF($I$2:$I$450="ERROR", ROW($I$2:$I$450)),ROW()-1)), "")</f>
        <v/>
      </c>
      <c r="N210" s="2" t="str">
        <f t="array" ref="N210">IFERROR(INDEX(A:A,SMALL(IF($I$2:$I$450="ERROR", ROW($A$2:$A$450)),ROW()-1)), "")</f>
        <v/>
      </c>
      <c r="O210" s="2" t="str">
        <f t="array" ref="O210">IFERROR(INDEX(B:B,SMALL(IF($I$2:$I$450="ERROR", ROW($B$2:$B$450)),ROW()-1)), "")</f>
        <v/>
      </c>
      <c r="P210" s="5" t="str">
        <f t="array" ref="P210">IFERROR(INDEX(C:C,SMALL(IF($I$2:$I$450="ERROR", ROW($C$2:$C$450)),ROW()-1)), "")</f>
        <v/>
      </c>
      <c r="Q210" s="5" t="str">
        <f t="array" ref="Q210">IFERROR(INDEX(G:G,SMALL(IF($I$2:$I$450="ERROR", ROW($G$2:$G$450)),ROW()-1)), "")</f>
        <v/>
      </c>
      <c r="R210" s="8" t="str">
        <f t="shared" si="7"/>
        <v/>
      </c>
    </row>
    <row r="211" spans="1:18" x14ac:dyDescent="0.45">
      <c r="A211" s="3" t="s">
        <v>632</v>
      </c>
      <c r="B211" s="1" t="s">
        <v>211</v>
      </c>
      <c r="C211" s="5">
        <v>5.0000000000000001E-3</v>
      </c>
      <c r="D211" s="4">
        <v>11975</v>
      </c>
      <c r="E211" s="4">
        <v>11975</v>
      </c>
      <c r="F211" s="4">
        <v>11940</v>
      </c>
      <c r="G211" s="5">
        <v>2.9227557411273487E-3</v>
      </c>
      <c r="H211" s="6"/>
      <c r="I211" s="2" t="str">
        <f t="shared" si="6"/>
        <v>-</v>
      </c>
      <c r="J211" s="1" t="str">
        <f>IF(I211="ERROR",BeepMe(),"")</f>
        <v/>
      </c>
      <c r="M211" s="2" t="str">
        <f t="array" ref="M211">IFERROR(INDEX(I:I,SMALL(IF($I$2:$I$450="ERROR", ROW($I$2:$I$450)),ROW()-1)), "")</f>
        <v/>
      </c>
      <c r="N211" s="2" t="str">
        <f t="array" ref="N211">IFERROR(INDEX(A:A,SMALL(IF($I$2:$I$450="ERROR", ROW($A$2:$A$450)),ROW()-1)), "")</f>
        <v/>
      </c>
      <c r="O211" s="2" t="str">
        <f t="array" ref="O211">IFERROR(INDEX(B:B,SMALL(IF($I$2:$I$450="ERROR", ROW($B$2:$B$450)),ROW()-1)), "")</f>
        <v/>
      </c>
      <c r="P211" s="5" t="str">
        <f t="array" ref="P211">IFERROR(INDEX(C:C,SMALL(IF($I$2:$I$450="ERROR", ROW($C$2:$C$450)),ROW()-1)), "")</f>
        <v/>
      </c>
      <c r="Q211" s="5" t="str">
        <f t="array" ref="Q211">IFERROR(INDEX(G:G,SMALL(IF($I$2:$I$450="ERROR", ROW($G$2:$G$450)),ROW()-1)), "")</f>
        <v/>
      </c>
      <c r="R211" s="8" t="str">
        <f t="shared" si="7"/>
        <v/>
      </c>
    </row>
    <row r="212" spans="1:18" x14ac:dyDescent="0.45">
      <c r="A212" s="3" t="s">
        <v>633</v>
      </c>
      <c r="B212" s="1" t="s">
        <v>212</v>
      </c>
      <c r="C212" s="5">
        <v>5.0000000000000001E-3</v>
      </c>
      <c r="D212" s="4">
        <v>8945</v>
      </c>
      <c r="E212" s="4">
        <v>8945</v>
      </c>
      <c r="F212" s="4">
        <v>8925</v>
      </c>
      <c r="G212" s="5">
        <v>2.2358859698155395E-3</v>
      </c>
      <c r="H212" s="6"/>
      <c r="I212" s="2" t="str">
        <f t="shared" si="6"/>
        <v>-</v>
      </c>
      <c r="J212" s="1" t="str">
        <f>IF(I212="ERROR",BeepMe(),"")</f>
        <v/>
      </c>
      <c r="M212" s="2" t="str">
        <f t="array" ref="M212">IFERROR(INDEX(I:I,SMALL(IF($I$2:$I$450="ERROR", ROW($I$2:$I$450)),ROW()-1)), "")</f>
        <v/>
      </c>
      <c r="N212" s="2" t="str">
        <f t="array" ref="N212">IFERROR(INDEX(A:A,SMALL(IF($I$2:$I$450="ERROR", ROW($A$2:$A$450)),ROW()-1)), "")</f>
        <v/>
      </c>
      <c r="O212" s="2" t="str">
        <f t="array" ref="O212">IFERROR(INDEX(B:B,SMALL(IF($I$2:$I$450="ERROR", ROW($B$2:$B$450)),ROW()-1)), "")</f>
        <v/>
      </c>
      <c r="P212" s="5" t="str">
        <f t="array" ref="P212">IFERROR(INDEX(C:C,SMALL(IF($I$2:$I$450="ERROR", ROW($C$2:$C$450)),ROW()-1)), "")</f>
        <v/>
      </c>
      <c r="Q212" s="5" t="str">
        <f t="array" ref="Q212">IFERROR(INDEX(G:G,SMALL(IF($I$2:$I$450="ERROR", ROW($G$2:$G$450)),ROW()-1)), "")</f>
        <v/>
      </c>
      <c r="R212" s="8" t="str">
        <f t="shared" si="7"/>
        <v/>
      </c>
    </row>
    <row r="213" spans="1:18" x14ac:dyDescent="0.45">
      <c r="A213" s="3" t="s">
        <v>634</v>
      </c>
      <c r="B213" s="1" t="s">
        <v>213</v>
      </c>
      <c r="C213" s="5">
        <v>5.0000000000000001E-3</v>
      </c>
      <c r="D213" s="4">
        <v>4790</v>
      </c>
      <c r="E213" s="4">
        <v>4790</v>
      </c>
      <c r="F213" s="4">
        <v>4780</v>
      </c>
      <c r="G213" s="5">
        <v>2.0876826722338203E-3</v>
      </c>
      <c r="H213" s="6"/>
      <c r="I213" s="2" t="str">
        <f t="shared" si="6"/>
        <v>-</v>
      </c>
      <c r="J213" s="1" t="str">
        <f>IF(I213="ERROR",BeepMe(),"")</f>
        <v/>
      </c>
      <c r="M213" s="2" t="str">
        <f t="array" ref="M213">IFERROR(INDEX(I:I,SMALL(IF($I$2:$I$450="ERROR", ROW($I$2:$I$450)),ROW()-1)), "")</f>
        <v/>
      </c>
      <c r="N213" s="2" t="str">
        <f t="array" ref="N213">IFERROR(INDEX(A:A,SMALL(IF($I$2:$I$450="ERROR", ROW($A$2:$A$450)),ROW()-1)), "")</f>
        <v/>
      </c>
      <c r="O213" s="2" t="str">
        <f t="array" ref="O213">IFERROR(INDEX(B:B,SMALL(IF($I$2:$I$450="ERROR", ROW($B$2:$B$450)),ROW()-1)), "")</f>
        <v/>
      </c>
      <c r="P213" s="5" t="str">
        <f t="array" ref="P213">IFERROR(INDEX(C:C,SMALL(IF($I$2:$I$450="ERROR", ROW($C$2:$C$450)),ROW()-1)), "")</f>
        <v/>
      </c>
      <c r="Q213" s="5" t="str">
        <f t="array" ref="Q213">IFERROR(INDEX(G:G,SMALL(IF($I$2:$I$450="ERROR", ROW($G$2:$G$450)),ROW()-1)), "")</f>
        <v/>
      </c>
      <c r="R213" s="8" t="str">
        <f t="shared" si="7"/>
        <v/>
      </c>
    </row>
    <row r="214" spans="1:18" x14ac:dyDescent="0.45">
      <c r="A214" s="3" t="s">
        <v>635</v>
      </c>
      <c r="B214" s="1" t="s">
        <v>214</v>
      </c>
      <c r="C214" s="5">
        <v>0.01</v>
      </c>
      <c r="D214" s="4">
        <v>16635</v>
      </c>
      <c r="E214" s="4">
        <v>16635</v>
      </c>
      <c r="F214" s="4">
        <v>16600</v>
      </c>
      <c r="G214" s="5">
        <v>2.1039975954313195E-3</v>
      </c>
      <c r="H214" s="6"/>
      <c r="I214" s="2" t="str">
        <f t="shared" si="6"/>
        <v>-</v>
      </c>
      <c r="J214" s="1" t="str">
        <f>IF(I214="ERROR",BeepMe(),"")</f>
        <v/>
      </c>
      <c r="M214" s="2" t="str">
        <f t="array" ref="M214">IFERROR(INDEX(I:I,SMALL(IF($I$2:$I$450="ERROR", ROW($I$2:$I$450)),ROW()-1)), "")</f>
        <v/>
      </c>
      <c r="N214" s="2" t="str">
        <f t="array" ref="N214">IFERROR(INDEX(A:A,SMALL(IF($I$2:$I$450="ERROR", ROW($A$2:$A$450)),ROW()-1)), "")</f>
        <v/>
      </c>
      <c r="O214" s="2" t="str">
        <f t="array" ref="O214">IFERROR(INDEX(B:B,SMALL(IF($I$2:$I$450="ERROR", ROW($B$2:$B$450)),ROW()-1)), "")</f>
        <v/>
      </c>
      <c r="P214" s="5" t="str">
        <f t="array" ref="P214">IFERROR(INDEX(C:C,SMALL(IF($I$2:$I$450="ERROR", ROW($C$2:$C$450)),ROW()-1)), "")</f>
        <v/>
      </c>
      <c r="Q214" s="5" t="str">
        <f t="array" ref="Q214">IFERROR(INDEX(G:G,SMALL(IF($I$2:$I$450="ERROR", ROW($G$2:$G$450)),ROW()-1)), "")</f>
        <v/>
      </c>
      <c r="R214" s="8" t="str">
        <f t="shared" si="7"/>
        <v/>
      </c>
    </row>
    <row r="215" spans="1:18" x14ac:dyDescent="0.45">
      <c r="A215" s="3" t="s">
        <v>636</v>
      </c>
      <c r="B215" s="1" t="s">
        <v>215</v>
      </c>
      <c r="C215" s="5">
        <v>0.01</v>
      </c>
      <c r="D215" s="4">
        <v>17690</v>
      </c>
      <c r="E215" s="4">
        <v>17690</v>
      </c>
      <c r="F215" s="4">
        <v>17650</v>
      </c>
      <c r="G215" s="5">
        <v>2.2611644997173543E-3</v>
      </c>
      <c r="H215" s="6"/>
      <c r="I215" s="2" t="str">
        <f t="shared" si="6"/>
        <v>-</v>
      </c>
      <c r="J215" s="1" t="str">
        <f>IF(I215="ERROR",BeepMe(),"")</f>
        <v/>
      </c>
      <c r="M215" s="2" t="str">
        <f t="array" ref="M215">IFERROR(INDEX(I:I,SMALL(IF($I$2:$I$450="ERROR", ROW($I$2:$I$450)),ROW()-1)), "")</f>
        <v/>
      </c>
      <c r="N215" s="2" t="str">
        <f t="array" ref="N215">IFERROR(INDEX(A:A,SMALL(IF($I$2:$I$450="ERROR", ROW($A$2:$A$450)),ROW()-1)), "")</f>
        <v/>
      </c>
      <c r="O215" s="2" t="str">
        <f t="array" ref="O215">IFERROR(INDEX(B:B,SMALL(IF($I$2:$I$450="ERROR", ROW($B$2:$B$450)),ROW()-1)), "")</f>
        <v/>
      </c>
      <c r="P215" s="5" t="str">
        <f t="array" ref="P215">IFERROR(INDEX(C:C,SMALL(IF($I$2:$I$450="ERROR", ROW($C$2:$C$450)),ROW()-1)), "")</f>
        <v/>
      </c>
      <c r="Q215" s="5" t="str">
        <f t="array" ref="Q215">IFERROR(INDEX(G:G,SMALL(IF($I$2:$I$450="ERROR", ROW($G$2:$G$450)),ROW()-1)), "")</f>
        <v/>
      </c>
      <c r="R215" s="8" t="str">
        <f t="shared" si="7"/>
        <v/>
      </c>
    </row>
    <row r="216" spans="1:18" x14ac:dyDescent="0.45">
      <c r="A216" s="3" t="s">
        <v>637</v>
      </c>
      <c r="B216" s="1" t="s">
        <v>216</v>
      </c>
      <c r="C216" s="5">
        <v>5.0000000000000001E-3</v>
      </c>
      <c r="D216" s="4">
        <v>27960</v>
      </c>
      <c r="E216" s="4">
        <v>27960</v>
      </c>
      <c r="F216" s="4">
        <v>27895</v>
      </c>
      <c r="G216" s="5">
        <v>2.3247496423462089E-3</v>
      </c>
      <c r="H216" s="6"/>
      <c r="I216" s="2" t="str">
        <f t="shared" si="6"/>
        <v>-</v>
      </c>
      <c r="J216" s="1" t="str">
        <f>IF(I216="ERROR",BeepMe(),"")</f>
        <v/>
      </c>
      <c r="M216" s="2" t="str">
        <f t="array" ref="M216">IFERROR(INDEX(I:I,SMALL(IF($I$2:$I$450="ERROR", ROW($I$2:$I$450)),ROW()-1)), "")</f>
        <v/>
      </c>
      <c r="N216" s="2" t="str">
        <f t="array" ref="N216">IFERROR(INDEX(A:A,SMALL(IF($I$2:$I$450="ERROR", ROW($A$2:$A$450)),ROW()-1)), "")</f>
        <v/>
      </c>
      <c r="O216" s="2" t="str">
        <f t="array" ref="O216">IFERROR(INDEX(B:B,SMALL(IF($I$2:$I$450="ERROR", ROW($B$2:$B$450)),ROW()-1)), "")</f>
        <v/>
      </c>
      <c r="P216" s="5" t="str">
        <f t="array" ref="P216">IFERROR(INDEX(C:C,SMALL(IF($I$2:$I$450="ERROR", ROW($C$2:$C$450)),ROW()-1)), "")</f>
        <v/>
      </c>
      <c r="Q216" s="5" t="str">
        <f t="array" ref="Q216">IFERROR(INDEX(G:G,SMALL(IF($I$2:$I$450="ERROR", ROW($G$2:$G$450)),ROW()-1)), "")</f>
        <v/>
      </c>
      <c r="R216" s="8" t="str">
        <f t="shared" si="7"/>
        <v/>
      </c>
    </row>
    <row r="217" spans="1:18" x14ac:dyDescent="0.45">
      <c r="A217" s="3" t="s">
        <v>638</v>
      </c>
      <c r="B217" s="1" t="s">
        <v>217</v>
      </c>
      <c r="C217" s="5">
        <v>5.0000000000000001E-3</v>
      </c>
      <c r="D217" s="4">
        <v>13390</v>
      </c>
      <c r="E217" s="4">
        <v>13390</v>
      </c>
      <c r="F217" s="4">
        <v>13380</v>
      </c>
      <c r="G217" s="5">
        <v>7.468259895444362E-4</v>
      </c>
      <c r="H217" s="6"/>
      <c r="I217" s="2" t="str">
        <f t="shared" si="6"/>
        <v>-</v>
      </c>
      <c r="J217" s="1" t="str">
        <f>IF(I217="ERROR",BeepMe(),"")</f>
        <v/>
      </c>
      <c r="M217" s="2" t="str">
        <f t="array" ref="M217">IFERROR(INDEX(I:I,SMALL(IF($I$2:$I$450="ERROR", ROW($I$2:$I$450)),ROW()-1)), "")</f>
        <v/>
      </c>
      <c r="N217" s="2" t="str">
        <f t="array" ref="N217">IFERROR(INDEX(A:A,SMALL(IF($I$2:$I$450="ERROR", ROW($A$2:$A$450)),ROW()-1)), "")</f>
        <v/>
      </c>
      <c r="O217" s="2" t="str">
        <f t="array" ref="O217">IFERROR(INDEX(B:B,SMALL(IF($I$2:$I$450="ERROR", ROW($B$2:$B$450)),ROW()-1)), "")</f>
        <v/>
      </c>
      <c r="P217" s="5" t="str">
        <f t="array" ref="P217">IFERROR(INDEX(C:C,SMALL(IF($I$2:$I$450="ERROR", ROW($C$2:$C$450)),ROW()-1)), "")</f>
        <v/>
      </c>
      <c r="Q217" s="5" t="str">
        <f t="array" ref="Q217">IFERROR(INDEX(G:G,SMALL(IF($I$2:$I$450="ERROR", ROW($G$2:$G$450)),ROW()-1)), "")</f>
        <v/>
      </c>
      <c r="R217" s="8" t="str">
        <f t="shared" si="7"/>
        <v/>
      </c>
    </row>
    <row r="218" spans="1:18" x14ac:dyDescent="0.45">
      <c r="A218" s="3" t="s">
        <v>639</v>
      </c>
      <c r="B218" s="1" t="s">
        <v>218</v>
      </c>
      <c r="C218" s="5">
        <v>5.0000000000000001E-3</v>
      </c>
      <c r="D218" s="4">
        <v>16505</v>
      </c>
      <c r="E218" s="4">
        <v>16510</v>
      </c>
      <c r="F218" s="4">
        <v>16455</v>
      </c>
      <c r="G218" s="5">
        <v>3.3323235383217208E-3</v>
      </c>
      <c r="H218" s="6"/>
      <c r="I218" s="2" t="str">
        <f t="shared" si="6"/>
        <v>-</v>
      </c>
      <c r="J218" s="1" t="str">
        <f>IF(I218="ERROR",BeepMe(),"")</f>
        <v/>
      </c>
      <c r="M218" s="2" t="str">
        <f t="array" ref="M218">IFERROR(INDEX(I:I,SMALL(IF($I$2:$I$450="ERROR", ROW($I$2:$I$450)),ROW()-1)), "")</f>
        <v/>
      </c>
      <c r="N218" s="2" t="str">
        <f t="array" ref="N218">IFERROR(INDEX(A:A,SMALL(IF($I$2:$I$450="ERROR", ROW($A$2:$A$450)),ROW()-1)), "")</f>
        <v/>
      </c>
      <c r="O218" s="2" t="str">
        <f t="array" ref="O218">IFERROR(INDEX(B:B,SMALL(IF($I$2:$I$450="ERROR", ROW($B$2:$B$450)),ROW()-1)), "")</f>
        <v/>
      </c>
      <c r="P218" s="5" t="str">
        <f t="array" ref="P218">IFERROR(INDEX(C:C,SMALL(IF($I$2:$I$450="ERROR", ROW($C$2:$C$450)),ROW()-1)), "")</f>
        <v/>
      </c>
      <c r="Q218" s="5" t="str">
        <f t="array" ref="Q218">IFERROR(INDEX(G:G,SMALL(IF($I$2:$I$450="ERROR", ROW($G$2:$G$450)),ROW()-1)), "")</f>
        <v/>
      </c>
      <c r="R218" s="8" t="str">
        <f t="shared" si="7"/>
        <v/>
      </c>
    </row>
    <row r="219" spans="1:18" x14ac:dyDescent="0.45">
      <c r="A219" s="3" t="s">
        <v>640</v>
      </c>
      <c r="B219" s="1" t="s">
        <v>219</v>
      </c>
      <c r="C219" s="5">
        <v>5.0000000000000001E-3</v>
      </c>
      <c r="D219" s="4">
        <v>12340</v>
      </c>
      <c r="E219" s="4">
        <v>12340</v>
      </c>
      <c r="F219" s="4">
        <v>12330</v>
      </c>
      <c r="G219" s="5">
        <v>8.1037277147487841E-4</v>
      </c>
      <c r="H219" s="6"/>
      <c r="I219" s="2" t="str">
        <f t="shared" si="6"/>
        <v>-</v>
      </c>
      <c r="J219" s="1" t="str">
        <f>IF(I219="ERROR",BeepMe(),"")</f>
        <v/>
      </c>
      <c r="M219" s="2" t="str">
        <f t="array" ref="M219">IFERROR(INDEX(I:I,SMALL(IF($I$2:$I$450="ERROR", ROW($I$2:$I$450)),ROW()-1)), "")</f>
        <v/>
      </c>
      <c r="N219" s="2" t="str">
        <f t="array" ref="N219">IFERROR(INDEX(A:A,SMALL(IF($I$2:$I$450="ERROR", ROW($A$2:$A$450)),ROW()-1)), "")</f>
        <v/>
      </c>
      <c r="O219" s="2" t="str">
        <f t="array" ref="O219">IFERROR(INDEX(B:B,SMALL(IF($I$2:$I$450="ERROR", ROW($B$2:$B$450)),ROW()-1)), "")</f>
        <v/>
      </c>
      <c r="P219" s="5" t="str">
        <f t="array" ref="P219">IFERROR(INDEX(C:C,SMALL(IF($I$2:$I$450="ERROR", ROW($C$2:$C$450)),ROW()-1)), "")</f>
        <v/>
      </c>
      <c r="Q219" s="5" t="str">
        <f t="array" ref="Q219">IFERROR(INDEX(G:G,SMALL(IF($I$2:$I$450="ERROR", ROW($G$2:$G$450)),ROW()-1)), "")</f>
        <v/>
      </c>
      <c r="R219" s="8" t="str">
        <f t="shared" si="7"/>
        <v/>
      </c>
    </row>
    <row r="220" spans="1:18" x14ac:dyDescent="0.45">
      <c r="A220" s="3" t="s">
        <v>641</v>
      </c>
      <c r="B220" s="1" t="s">
        <v>220</v>
      </c>
      <c r="C220" s="5">
        <v>5.0000000000000001E-3</v>
      </c>
      <c r="D220" s="4">
        <v>11770</v>
      </c>
      <c r="E220" s="4">
        <v>11770</v>
      </c>
      <c r="F220" s="4">
        <v>11765</v>
      </c>
      <c r="G220" s="5">
        <v>4.248088360237893E-4</v>
      </c>
      <c r="H220" s="6"/>
      <c r="I220" s="2" t="str">
        <f t="shared" si="6"/>
        <v>-</v>
      </c>
      <c r="J220" s="1" t="str">
        <f>IF(I220="ERROR",BeepMe(),"")</f>
        <v/>
      </c>
      <c r="M220" s="2" t="str">
        <f t="array" ref="M220">IFERROR(INDEX(I:I,SMALL(IF($I$2:$I$450="ERROR", ROW($I$2:$I$450)),ROW()-1)), "")</f>
        <v/>
      </c>
      <c r="N220" s="2" t="str">
        <f t="array" ref="N220">IFERROR(INDEX(A:A,SMALL(IF($I$2:$I$450="ERROR", ROW($A$2:$A$450)),ROW()-1)), "")</f>
        <v/>
      </c>
      <c r="O220" s="2" t="str">
        <f t="array" ref="O220">IFERROR(INDEX(B:B,SMALL(IF($I$2:$I$450="ERROR", ROW($B$2:$B$450)),ROW()-1)), "")</f>
        <v/>
      </c>
      <c r="P220" s="5" t="str">
        <f t="array" ref="P220">IFERROR(INDEX(C:C,SMALL(IF($I$2:$I$450="ERROR", ROW($C$2:$C$450)),ROW()-1)), "")</f>
        <v/>
      </c>
      <c r="Q220" s="5" t="str">
        <f t="array" ref="Q220">IFERROR(INDEX(G:G,SMALL(IF($I$2:$I$450="ERROR", ROW($G$2:$G$450)),ROW()-1)), "")</f>
        <v/>
      </c>
      <c r="R220" s="8" t="str">
        <f t="shared" si="7"/>
        <v/>
      </c>
    </row>
    <row r="221" spans="1:18" x14ac:dyDescent="0.45">
      <c r="A221" s="3" t="s">
        <v>642</v>
      </c>
      <c r="B221" s="1" t="s">
        <v>221</v>
      </c>
      <c r="C221" s="5">
        <v>5.0000000000000001E-3</v>
      </c>
      <c r="D221" s="4">
        <v>11435</v>
      </c>
      <c r="E221" s="4">
        <v>11435</v>
      </c>
      <c r="F221" s="4">
        <v>11430</v>
      </c>
      <c r="G221" s="5">
        <v>4.3725404459991256E-4</v>
      </c>
      <c r="H221" s="6"/>
      <c r="I221" s="2" t="str">
        <f t="shared" si="6"/>
        <v>-</v>
      </c>
      <c r="J221" s="1" t="str">
        <f>IF(I221="ERROR",BeepMe(),"")</f>
        <v/>
      </c>
      <c r="M221" s="2" t="str">
        <f t="array" ref="M221">IFERROR(INDEX(I:I,SMALL(IF($I$2:$I$450="ERROR", ROW($I$2:$I$450)),ROW()-1)), "")</f>
        <v/>
      </c>
      <c r="N221" s="2" t="str">
        <f t="array" ref="N221">IFERROR(INDEX(A:A,SMALL(IF($I$2:$I$450="ERROR", ROW($A$2:$A$450)),ROW()-1)), "")</f>
        <v/>
      </c>
      <c r="O221" s="2" t="str">
        <f t="array" ref="O221">IFERROR(INDEX(B:B,SMALL(IF($I$2:$I$450="ERROR", ROW($B$2:$B$450)),ROW()-1)), "")</f>
        <v/>
      </c>
      <c r="P221" s="5" t="str">
        <f t="array" ref="P221">IFERROR(INDEX(C:C,SMALL(IF($I$2:$I$450="ERROR", ROW($C$2:$C$450)),ROW()-1)), "")</f>
        <v/>
      </c>
      <c r="Q221" s="5" t="str">
        <f t="array" ref="Q221">IFERROR(INDEX(G:G,SMALL(IF($I$2:$I$450="ERROR", ROW($G$2:$G$450)),ROW()-1)), "")</f>
        <v/>
      </c>
      <c r="R221" s="8" t="str">
        <f t="shared" si="7"/>
        <v/>
      </c>
    </row>
    <row r="222" spans="1:18" x14ac:dyDescent="0.45">
      <c r="A222" s="3" t="s">
        <v>643</v>
      </c>
      <c r="B222" s="1" t="s">
        <v>222</v>
      </c>
      <c r="C222" s="5">
        <v>5.0000000000000001E-3</v>
      </c>
      <c r="D222" s="4">
        <v>105995</v>
      </c>
      <c r="E222" s="4">
        <v>106000</v>
      </c>
      <c r="F222" s="4">
        <v>105995</v>
      </c>
      <c r="G222" s="5">
        <v>4.7172036416812113E-5</v>
      </c>
      <c r="H222" s="6"/>
      <c r="I222" s="2" t="str">
        <f t="shared" si="6"/>
        <v>-</v>
      </c>
      <c r="J222" s="1" t="str">
        <f>IF(I222="ERROR",BeepMe(),"")</f>
        <v/>
      </c>
      <c r="M222" s="2" t="str">
        <f t="array" ref="M222">IFERROR(INDEX(I:I,SMALL(IF($I$2:$I$450="ERROR", ROW($I$2:$I$450)),ROW()-1)), "")</f>
        <v/>
      </c>
      <c r="N222" s="2" t="str">
        <f t="array" ref="N222">IFERROR(INDEX(A:A,SMALL(IF($I$2:$I$450="ERROR", ROW($A$2:$A$450)),ROW()-1)), "")</f>
        <v/>
      </c>
      <c r="O222" s="2" t="str">
        <f t="array" ref="O222">IFERROR(INDEX(B:B,SMALL(IF($I$2:$I$450="ERROR", ROW($B$2:$B$450)),ROW()-1)), "")</f>
        <v/>
      </c>
      <c r="P222" s="5" t="str">
        <f t="array" ref="P222">IFERROR(INDEX(C:C,SMALL(IF($I$2:$I$450="ERROR", ROW($C$2:$C$450)),ROW()-1)), "")</f>
        <v/>
      </c>
      <c r="Q222" s="5" t="str">
        <f t="array" ref="Q222">IFERROR(INDEX(G:G,SMALL(IF($I$2:$I$450="ERROR", ROW($G$2:$G$450)),ROW()-1)), "")</f>
        <v/>
      </c>
      <c r="R222" s="8" t="str">
        <f t="shared" si="7"/>
        <v/>
      </c>
    </row>
    <row r="223" spans="1:18" x14ac:dyDescent="0.45">
      <c r="A223" s="3" t="s">
        <v>644</v>
      </c>
      <c r="B223" s="1" t="s">
        <v>223</v>
      </c>
      <c r="C223" s="5">
        <v>5.0000000000000001E-3</v>
      </c>
      <c r="D223" s="4">
        <v>9575</v>
      </c>
      <c r="E223" s="4">
        <v>9575</v>
      </c>
      <c r="F223" s="4">
        <v>9545</v>
      </c>
      <c r="G223" s="5">
        <v>3.133159268929504E-3</v>
      </c>
      <c r="H223" s="6"/>
      <c r="I223" s="2" t="str">
        <f t="shared" si="6"/>
        <v>-</v>
      </c>
      <c r="J223" s="1" t="str">
        <f>IF(I223="ERROR",BeepMe(),"")</f>
        <v/>
      </c>
      <c r="M223" s="2" t="str">
        <f t="array" ref="M223">IFERROR(INDEX(I:I,SMALL(IF($I$2:$I$450="ERROR", ROW($I$2:$I$450)),ROW()-1)), "")</f>
        <v/>
      </c>
      <c r="N223" s="2" t="str">
        <f t="array" ref="N223">IFERROR(INDEX(A:A,SMALL(IF($I$2:$I$450="ERROR", ROW($A$2:$A$450)),ROW()-1)), "")</f>
        <v/>
      </c>
      <c r="O223" s="2" t="str">
        <f t="array" ref="O223">IFERROR(INDEX(B:B,SMALL(IF($I$2:$I$450="ERROR", ROW($B$2:$B$450)),ROW()-1)), "")</f>
        <v/>
      </c>
      <c r="P223" s="5" t="str">
        <f t="array" ref="P223">IFERROR(INDEX(C:C,SMALL(IF($I$2:$I$450="ERROR", ROW($C$2:$C$450)),ROW()-1)), "")</f>
        <v/>
      </c>
      <c r="Q223" s="5" t="str">
        <f t="array" ref="Q223">IFERROR(INDEX(G:G,SMALL(IF($I$2:$I$450="ERROR", ROW($G$2:$G$450)),ROW()-1)), "")</f>
        <v/>
      </c>
      <c r="R223" s="8" t="str">
        <f t="shared" si="7"/>
        <v/>
      </c>
    </row>
    <row r="224" spans="1:18" x14ac:dyDescent="0.45">
      <c r="A224" s="3" t="s">
        <v>645</v>
      </c>
      <c r="B224" s="1" t="s">
        <v>224</v>
      </c>
      <c r="C224" s="5">
        <v>0.01</v>
      </c>
      <c r="D224" s="4">
        <v>13090</v>
      </c>
      <c r="E224" s="4">
        <v>13090</v>
      </c>
      <c r="F224" s="4">
        <v>13080</v>
      </c>
      <c r="G224" s="5">
        <v>7.6394194041252863E-4</v>
      </c>
      <c r="H224" s="6"/>
      <c r="I224" s="2" t="str">
        <f t="shared" si="6"/>
        <v>-</v>
      </c>
      <c r="J224" s="1" t="str">
        <f>IF(I224="ERROR",BeepMe(),"")</f>
        <v/>
      </c>
      <c r="M224" s="2" t="str">
        <f t="array" ref="M224">IFERROR(INDEX(I:I,SMALL(IF($I$2:$I$450="ERROR", ROW($I$2:$I$450)),ROW()-1)), "")</f>
        <v/>
      </c>
      <c r="N224" s="2" t="str">
        <f t="array" ref="N224">IFERROR(INDEX(A:A,SMALL(IF($I$2:$I$450="ERROR", ROW($A$2:$A$450)),ROW()-1)), "")</f>
        <v/>
      </c>
      <c r="O224" s="2" t="str">
        <f t="array" ref="O224">IFERROR(INDEX(B:B,SMALL(IF($I$2:$I$450="ERROR", ROW($B$2:$B$450)),ROW()-1)), "")</f>
        <v/>
      </c>
      <c r="P224" s="5" t="str">
        <f t="array" ref="P224">IFERROR(INDEX(C:C,SMALL(IF($I$2:$I$450="ERROR", ROW($C$2:$C$450)),ROW()-1)), "")</f>
        <v/>
      </c>
      <c r="Q224" s="5" t="str">
        <f t="array" ref="Q224">IFERROR(INDEX(G:G,SMALL(IF($I$2:$I$450="ERROR", ROW($G$2:$G$450)),ROW()-1)), "")</f>
        <v/>
      </c>
      <c r="R224" s="8" t="str">
        <f t="shared" si="7"/>
        <v/>
      </c>
    </row>
    <row r="225" spans="1:18" x14ac:dyDescent="0.45">
      <c r="A225" s="3" t="s">
        <v>646</v>
      </c>
      <c r="B225" s="1" t="s">
        <v>225</v>
      </c>
      <c r="C225" s="5">
        <v>0.01</v>
      </c>
      <c r="D225" s="4">
        <v>6555</v>
      </c>
      <c r="E225" s="4">
        <v>6560</v>
      </c>
      <c r="F225" s="4">
        <v>6555</v>
      </c>
      <c r="G225" s="5">
        <v>7.6277650648360034E-4</v>
      </c>
      <c r="H225" s="6"/>
      <c r="I225" s="2" t="str">
        <f t="shared" si="6"/>
        <v>-</v>
      </c>
      <c r="J225" s="1" t="str">
        <f>IF(I225="ERROR",BeepMe(),"")</f>
        <v/>
      </c>
      <c r="M225" s="2" t="str">
        <f t="array" ref="M225">IFERROR(INDEX(I:I,SMALL(IF($I$2:$I$450="ERROR", ROW($I$2:$I$450)),ROW()-1)), "")</f>
        <v/>
      </c>
      <c r="N225" s="2" t="str">
        <f t="array" ref="N225">IFERROR(INDEX(A:A,SMALL(IF($I$2:$I$450="ERROR", ROW($A$2:$A$450)),ROW()-1)), "")</f>
        <v/>
      </c>
      <c r="O225" s="2" t="str">
        <f t="array" ref="O225">IFERROR(INDEX(B:B,SMALL(IF($I$2:$I$450="ERROR", ROW($B$2:$B$450)),ROW()-1)), "")</f>
        <v/>
      </c>
      <c r="P225" s="5" t="str">
        <f t="array" ref="P225">IFERROR(INDEX(C:C,SMALL(IF($I$2:$I$450="ERROR", ROW($C$2:$C$450)),ROW()-1)), "")</f>
        <v/>
      </c>
      <c r="Q225" s="5" t="str">
        <f t="array" ref="Q225">IFERROR(INDEX(G:G,SMALL(IF($I$2:$I$450="ERROR", ROW($G$2:$G$450)),ROW()-1)), "")</f>
        <v/>
      </c>
      <c r="R225" s="8" t="str">
        <f t="shared" si="7"/>
        <v/>
      </c>
    </row>
    <row r="226" spans="1:18" x14ac:dyDescent="0.45">
      <c r="A226" s="3" t="s">
        <v>647</v>
      </c>
      <c r="B226" s="1" t="s">
        <v>226</v>
      </c>
      <c r="C226" s="5">
        <v>0.01</v>
      </c>
      <c r="D226" s="4">
        <v>12740</v>
      </c>
      <c r="E226" s="4">
        <v>12745</v>
      </c>
      <c r="F226" s="4">
        <v>12740</v>
      </c>
      <c r="G226" s="5">
        <v>3.9246467817896392E-4</v>
      </c>
      <c r="H226" s="6"/>
      <c r="I226" s="2" t="str">
        <f t="shared" si="6"/>
        <v>-</v>
      </c>
      <c r="J226" s="1" t="str">
        <f>IF(I226="ERROR",BeepMe(),"")</f>
        <v/>
      </c>
      <c r="M226" s="2" t="str">
        <f t="array" ref="M226">IFERROR(INDEX(I:I,SMALL(IF($I$2:$I$450="ERROR", ROW($I$2:$I$450)),ROW()-1)), "")</f>
        <v/>
      </c>
      <c r="N226" s="2" t="str">
        <f t="array" ref="N226">IFERROR(INDEX(A:A,SMALL(IF($I$2:$I$450="ERROR", ROW($A$2:$A$450)),ROW()-1)), "")</f>
        <v/>
      </c>
      <c r="O226" s="2" t="str">
        <f t="array" ref="O226">IFERROR(INDEX(B:B,SMALL(IF($I$2:$I$450="ERROR", ROW($B$2:$B$450)),ROW()-1)), "")</f>
        <v/>
      </c>
      <c r="P226" s="5" t="str">
        <f t="array" ref="P226">IFERROR(INDEX(C:C,SMALL(IF($I$2:$I$450="ERROR", ROW($C$2:$C$450)),ROW()-1)), "")</f>
        <v/>
      </c>
      <c r="Q226" s="5" t="str">
        <f t="array" ref="Q226">IFERROR(INDEX(G:G,SMALL(IF($I$2:$I$450="ERROR", ROW($G$2:$G$450)),ROW()-1)), "")</f>
        <v/>
      </c>
      <c r="R226" s="8" t="str">
        <f t="shared" si="7"/>
        <v/>
      </c>
    </row>
    <row r="227" spans="1:18" x14ac:dyDescent="0.45">
      <c r="A227" s="3" t="s">
        <v>648</v>
      </c>
      <c r="B227" s="1" t="s">
        <v>227</v>
      </c>
      <c r="C227" s="5">
        <v>5.0000000000000001E-3</v>
      </c>
      <c r="D227" s="4">
        <v>103465</v>
      </c>
      <c r="E227" s="4">
        <v>103455</v>
      </c>
      <c r="F227" s="4">
        <v>103400</v>
      </c>
      <c r="G227" s="5">
        <v>5.3158072778234191E-4</v>
      </c>
      <c r="H227" s="6"/>
      <c r="I227" s="2" t="str">
        <f t="shared" si="6"/>
        <v>-</v>
      </c>
      <c r="J227" s="1" t="str">
        <f>IF(I227="ERROR",BeepMe(),"")</f>
        <v/>
      </c>
      <c r="M227" s="2" t="str">
        <f t="array" ref="M227">IFERROR(INDEX(I:I,SMALL(IF($I$2:$I$450="ERROR", ROW($I$2:$I$450)),ROW()-1)), "")</f>
        <v/>
      </c>
      <c r="N227" s="2" t="str">
        <f t="array" ref="N227">IFERROR(INDEX(A:A,SMALL(IF($I$2:$I$450="ERROR", ROW($A$2:$A$450)),ROW()-1)), "")</f>
        <v/>
      </c>
      <c r="O227" s="2" t="str">
        <f t="array" ref="O227">IFERROR(INDEX(B:B,SMALL(IF($I$2:$I$450="ERROR", ROW($B$2:$B$450)),ROW()-1)), "")</f>
        <v/>
      </c>
      <c r="P227" s="5" t="str">
        <f t="array" ref="P227">IFERROR(INDEX(C:C,SMALL(IF($I$2:$I$450="ERROR", ROW($C$2:$C$450)),ROW()-1)), "")</f>
        <v/>
      </c>
      <c r="Q227" s="5" t="str">
        <f t="array" ref="Q227">IFERROR(INDEX(G:G,SMALL(IF($I$2:$I$450="ERROR", ROW($G$2:$G$450)),ROW()-1)), "")</f>
        <v/>
      </c>
      <c r="R227" s="8" t="str">
        <f t="shared" si="7"/>
        <v/>
      </c>
    </row>
    <row r="228" spans="1:18" x14ac:dyDescent="0.45">
      <c r="A228" s="3" t="s">
        <v>649</v>
      </c>
      <c r="B228" s="1" t="s">
        <v>228</v>
      </c>
      <c r="C228" s="5">
        <v>5.0000000000000001E-3</v>
      </c>
      <c r="D228" s="4">
        <v>9495</v>
      </c>
      <c r="E228" s="4">
        <v>9505</v>
      </c>
      <c r="F228" s="4">
        <v>9495</v>
      </c>
      <c r="G228" s="5">
        <v>1.05318588730911E-3</v>
      </c>
      <c r="H228" s="6"/>
      <c r="I228" s="2" t="str">
        <f t="shared" si="6"/>
        <v>-</v>
      </c>
      <c r="J228" s="1" t="str">
        <f>IF(I228="ERROR",BeepMe(),"")</f>
        <v/>
      </c>
      <c r="M228" s="2" t="str">
        <f t="array" ref="M228">IFERROR(INDEX(I:I,SMALL(IF($I$2:$I$450="ERROR", ROW($I$2:$I$450)),ROW()-1)), "")</f>
        <v/>
      </c>
      <c r="N228" s="2" t="str">
        <f t="array" ref="N228">IFERROR(INDEX(A:A,SMALL(IF($I$2:$I$450="ERROR", ROW($A$2:$A$450)),ROW()-1)), "")</f>
        <v/>
      </c>
      <c r="O228" s="2" t="str">
        <f t="array" ref="O228">IFERROR(INDEX(B:B,SMALL(IF($I$2:$I$450="ERROR", ROW($B$2:$B$450)),ROW()-1)), "")</f>
        <v/>
      </c>
      <c r="P228" s="5" t="str">
        <f t="array" ref="P228">IFERROR(INDEX(C:C,SMALL(IF($I$2:$I$450="ERROR", ROW($C$2:$C$450)),ROW()-1)), "")</f>
        <v/>
      </c>
      <c r="Q228" s="5" t="str">
        <f t="array" ref="Q228">IFERROR(INDEX(G:G,SMALL(IF($I$2:$I$450="ERROR", ROW($G$2:$G$450)),ROW()-1)), "")</f>
        <v/>
      </c>
      <c r="R228" s="8" t="str">
        <f t="shared" si="7"/>
        <v/>
      </c>
    </row>
    <row r="229" spans="1:18" x14ac:dyDescent="0.45">
      <c r="A229" s="3" t="s">
        <v>650</v>
      </c>
      <c r="B229" s="1" t="s">
        <v>229</v>
      </c>
      <c r="C229" s="5">
        <v>5.0000000000000001E-3</v>
      </c>
      <c r="D229" s="4">
        <v>11375</v>
      </c>
      <c r="E229" s="4">
        <v>11380</v>
      </c>
      <c r="F229" s="4">
        <v>11360</v>
      </c>
      <c r="G229" s="5">
        <v>1.7582417582417582E-3</v>
      </c>
      <c r="H229" s="6"/>
      <c r="I229" s="2" t="str">
        <f t="shared" si="6"/>
        <v>-</v>
      </c>
      <c r="J229" s="1" t="str">
        <f>IF(I229="ERROR",BeepMe(),"")</f>
        <v/>
      </c>
      <c r="M229" s="2" t="str">
        <f t="array" ref="M229">IFERROR(INDEX(I:I,SMALL(IF($I$2:$I$450="ERROR", ROW($I$2:$I$450)),ROW()-1)), "")</f>
        <v/>
      </c>
      <c r="N229" s="2" t="str">
        <f t="array" ref="N229">IFERROR(INDEX(A:A,SMALL(IF($I$2:$I$450="ERROR", ROW($A$2:$A$450)),ROW()-1)), "")</f>
        <v/>
      </c>
      <c r="O229" s="2" t="str">
        <f t="array" ref="O229">IFERROR(INDEX(B:B,SMALL(IF($I$2:$I$450="ERROR", ROW($B$2:$B$450)),ROW()-1)), "")</f>
        <v/>
      </c>
      <c r="P229" s="5" t="str">
        <f t="array" ref="P229">IFERROR(INDEX(C:C,SMALL(IF($I$2:$I$450="ERROR", ROW($C$2:$C$450)),ROW()-1)), "")</f>
        <v/>
      </c>
      <c r="Q229" s="5" t="str">
        <f t="array" ref="Q229">IFERROR(INDEX(G:G,SMALL(IF($I$2:$I$450="ERROR", ROW($G$2:$G$450)),ROW()-1)), "")</f>
        <v/>
      </c>
      <c r="R229" s="8" t="str">
        <f t="shared" si="7"/>
        <v/>
      </c>
    </row>
    <row r="230" spans="1:18" x14ac:dyDescent="0.45">
      <c r="A230" s="3" t="s">
        <v>651</v>
      </c>
      <c r="B230" s="1" t="s">
        <v>230</v>
      </c>
      <c r="C230" s="5">
        <v>5.0000000000000001E-3</v>
      </c>
      <c r="D230" s="4">
        <v>14675</v>
      </c>
      <c r="E230" s="4">
        <v>14675</v>
      </c>
      <c r="F230" s="4">
        <v>14650</v>
      </c>
      <c r="G230" s="5">
        <v>1.7035775127768314E-3</v>
      </c>
      <c r="H230" s="6"/>
      <c r="I230" s="2" t="str">
        <f t="shared" si="6"/>
        <v>-</v>
      </c>
      <c r="J230" s="1" t="str">
        <f>IF(I230="ERROR",BeepMe(),"")</f>
        <v/>
      </c>
      <c r="M230" s="2" t="str">
        <f t="array" ref="M230">IFERROR(INDEX(I:I,SMALL(IF($I$2:$I$450="ERROR", ROW($I$2:$I$450)),ROW()-1)), "")</f>
        <v/>
      </c>
      <c r="N230" s="2" t="str">
        <f t="array" ref="N230">IFERROR(INDEX(A:A,SMALL(IF($I$2:$I$450="ERROR", ROW($A$2:$A$450)),ROW()-1)), "")</f>
        <v/>
      </c>
      <c r="O230" s="2" t="str">
        <f t="array" ref="O230">IFERROR(INDEX(B:B,SMALL(IF($I$2:$I$450="ERROR", ROW($B$2:$B$450)),ROW()-1)), "")</f>
        <v/>
      </c>
      <c r="P230" s="5" t="str">
        <f t="array" ref="P230">IFERROR(INDEX(C:C,SMALL(IF($I$2:$I$450="ERROR", ROW($C$2:$C$450)),ROW()-1)), "")</f>
        <v/>
      </c>
      <c r="Q230" s="5" t="str">
        <f t="array" ref="Q230">IFERROR(INDEX(G:G,SMALL(IF($I$2:$I$450="ERROR", ROW($G$2:$G$450)),ROW()-1)), "")</f>
        <v/>
      </c>
      <c r="R230" s="8" t="str">
        <f t="shared" si="7"/>
        <v/>
      </c>
    </row>
    <row r="231" spans="1:18" x14ac:dyDescent="0.45">
      <c r="A231" s="3" t="s">
        <v>652</v>
      </c>
      <c r="B231" s="1" t="s">
        <v>231</v>
      </c>
      <c r="C231" s="5">
        <v>5.0000000000000001E-3</v>
      </c>
      <c r="D231" s="4">
        <v>10330</v>
      </c>
      <c r="E231" s="4">
        <v>10360</v>
      </c>
      <c r="F231" s="4">
        <v>10330</v>
      </c>
      <c r="G231" s="5">
        <v>2.9041626331074541E-3</v>
      </c>
      <c r="H231" s="6"/>
      <c r="I231" s="2" t="str">
        <f t="shared" si="6"/>
        <v>-</v>
      </c>
      <c r="J231" s="1" t="str">
        <f>IF(I231="ERROR",BeepMe(),"")</f>
        <v/>
      </c>
      <c r="M231" s="2" t="str">
        <f t="array" ref="M231">IFERROR(INDEX(I:I,SMALL(IF($I$2:$I$450="ERROR", ROW($I$2:$I$450)),ROW()-1)), "")</f>
        <v/>
      </c>
      <c r="N231" s="2" t="str">
        <f t="array" ref="N231">IFERROR(INDEX(A:A,SMALL(IF($I$2:$I$450="ERROR", ROW($A$2:$A$450)),ROW()-1)), "")</f>
        <v/>
      </c>
      <c r="O231" s="2" t="str">
        <f t="array" ref="O231">IFERROR(INDEX(B:B,SMALL(IF($I$2:$I$450="ERROR", ROW($B$2:$B$450)),ROW()-1)), "")</f>
        <v/>
      </c>
      <c r="P231" s="5" t="str">
        <f t="array" ref="P231">IFERROR(INDEX(C:C,SMALL(IF($I$2:$I$450="ERROR", ROW($C$2:$C$450)),ROW()-1)), "")</f>
        <v/>
      </c>
      <c r="Q231" s="5" t="str">
        <f t="array" ref="Q231">IFERROR(INDEX(G:G,SMALL(IF($I$2:$I$450="ERROR", ROW($G$2:$G$450)),ROW()-1)), "")</f>
        <v/>
      </c>
      <c r="R231" s="8" t="str">
        <f t="shared" si="7"/>
        <v/>
      </c>
    </row>
    <row r="232" spans="1:18" x14ac:dyDescent="0.45">
      <c r="A232" s="3" t="s">
        <v>653</v>
      </c>
      <c r="B232" s="1" t="s">
        <v>232</v>
      </c>
      <c r="C232" s="5">
        <v>5.0000000000000001E-3</v>
      </c>
      <c r="D232" s="4">
        <v>9630</v>
      </c>
      <c r="E232" s="4">
        <v>9640</v>
      </c>
      <c r="F232" s="4">
        <v>9630</v>
      </c>
      <c r="G232" s="5">
        <v>1.0384215991692627E-3</v>
      </c>
      <c r="H232" s="6"/>
      <c r="I232" s="2" t="str">
        <f t="shared" si="6"/>
        <v>-</v>
      </c>
      <c r="J232" s="1" t="str">
        <f>IF(I232="ERROR",BeepMe(),"")</f>
        <v/>
      </c>
      <c r="M232" s="2" t="str">
        <f t="array" ref="M232">IFERROR(INDEX(I:I,SMALL(IF($I$2:$I$450="ERROR", ROW($I$2:$I$450)),ROW()-1)), "")</f>
        <v/>
      </c>
      <c r="N232" s="2" t="str">
        <f t="array" ref="N232">IFERROR(INDEX(A:A,SMALL(IF($I$2:$I$450="ERROR", ROW($A$2:$A$450)),ROW()-1)), "")</f>
        <v/>
      </c>
      <c r="O232" s="2" t="str">
        <f t="array" ref="O232">IFERROR(INDEX(B:B,SMALL(IF($I$2:$I$450="ERROR", ROW($B$2:$B$450)),ROW()-1)), "")</f>
        <v/>
      </c>
      <c r="P232" s="5" t="str">
        <f t="array" ref="P232">IFERROR(INDEX(C:C,SMALL(IF($I$2:$I$450="ERROR", ROW($C$2:$C$450)),ROW()-1)), "")</f>
        <v/>
      </c>
      <c r="Q232" s="5" t="str">
        <f t="array" ref="Q232">IFERROR(INDEX(G:G,SMALL(IF($I$2:$I$450="ERROR", ROW($G$2:$G$450)),ROW()-1)), "")</f>
        <v/>
      </c>
      <c r="R232" s="8" t="str">
        <f t="shared" si="7"/>
        <v/>
      </c>
    </row>
    <row r="233" spans="1:18" x14ac:dyDescent="0.45">
      <c r="A233" s="3" t="s">
        <v>654</v>
      </c>
      <c r="B233" s="1" t="s">
        <v>233</v>
      </c>
      <c r="C233" s="5">
        <v>5.0000000000000001E-3</v>
      </c>
      <c r="D233" s="4">
        <v>12135</v>
      </c>
      <c r="E233" s="4">
        <v>12140</v>
      </c>
      <c r="F233" s="4">
        <v>12120</v>
      </c>
      <c r="G233" s="5">
        <v>1.6481252575195715E-3</v>
      </c>
      <c r="H233" s="6"/>
      <c r="I233" s="2" t="str">
        <f t="shared" si="6"/>
        <v>-</v>
      </c>
      <c r="J233" s="1" t="str">
        <f>IF(I233="ERROR",BeepMe(),"")</f>
        <v/>
      </c>
      <c r="M233" s="2" t="str">
        <f t="array" ref="M233">IFERROR(INDEX(I:I,SMALL(IF($I$2:$I$450="ERROR", ROW($I$2:$I$450)),ROW()-1)), "")</f>
        <v/>
      </c>
      <c r="N233" s="2" t="str">
        <f t="array" ref="N233">IFERROR(INDEX(A:A,SMALL(IF($I$2:$I$450="ERROR", ROW($A$2:$A$450)),ROW()-1)), "")</f>
        <v/>
      </c>
      <c r="O233" s="2" t="str">
        <f t="array" ref="O233">IFERROR(INDEX(B:B,SMALL(IF($I$2:$I$450="ERROR", ROW($B$2:$B$450)),ROW()-1)), "")</f>
        <v/>
      </c>
      <c r="P233" s="5" t="str">
        <f t="array" ref="P233">IFERROR(INDEX(C:C,SMALL(IF($I$2:$I$450="ERROR", ROW($C$2:$C$450)),ROW()-1)), "")</f>
        <v/>
      </c>
      <c r="Q233" s="5" t="str">
        <f t="array" ref="Q233">IFERROR(INDEX(G:G,SMALL(IF($I$2:$I$450="ERROR", ROW($G$2:$G$450)),ROW()-1)), "")</f>
        <v/>
      </c>
      <c r="R233" s="8" t="str">
        <f t="shared" si="7"/>
        <v/>
      </c>
    </row>
    <row r="234" spans="1:18" x14ac:dyDescent="0.45">
      <c r="A234" s="3" t="s">
        <v>655</v>
      </c>
      <c r="B234" s="1" t="s">
        <v>234</v>
      </c>
      <c r="C234" s="5">
        <v>5.0000000000000001E-3</v>
      </c>
      <c r="D234" s="4">
        <v>9940</v>
      </c>
      <c r="E234" s="4">
        <v>9940</v>
      </c>
      <c r="F234" s="4">
        <v>9910</v>
      </c>
      <c r="G234" s="5">
        <v>3.0181086519114686E-3</v>
      </c>
      <c r="H234" s="6"/>
      <c r="I234" s="2" t="str">
        <f t="shared" si="6"/>
        <v>-</v>
      </c>
      <c r="J234" s="1" t="str">
        <f>IF(I234="ERROR",BeepMe(),"")</f>
        <v/>
      </c>
      <c r="M234" s="2" t="str">
        <f t="array" ref="M234">IFERROR(INDEX(I:I,SMALL(IF($I$2:$I$450="ERROR", ROW($I$2:$I$450)),ROW()-1)), "")</f>
        <v/>
      </c>
      <c r="N234" s="2" t="str">
        <f t="array" ref="N234">IFERROR(INDEX(A:A,SMALL(IF($I$2:$I$450="ERROR", ROW($A$2:$A$450)),ROW()-1)), "")</f>
        <v/>
      </c>
      <c r="O234" s="2" t="str">
        <f t="array" ref="O234">IFERROR(INDEX(B:B,SMALL(IF($I$2:$I$450="ERROR", ROW($B$2:$B$450)),ROW()-1)), "")</f>
        <v/>
      </c>
      <c r="P234" s="5" t="str">
        <f t="array" ref="P234">IFERROR(INDEX(C:C,SMALL(IF($I$2:$I$450="ERROR", ROW($C$2:$C$450)),ROW()-1)), "")</f>
        <v/>
      </c>
      <c r="Q234" s="5" t="str">
        <f t="array" ref="Q234">IFERROR(INDEX(G:G,SMALL(IF($I$2:$I$450="ERROR", ROW($G$2:$G$450)),ROW()-1)), "")</f>
        <v/>
      </c>
      <c r="R234" s="8" t="str">
        <f t="shared" si="7"/>
        <v/>
      </c>
    </row>
    <row r="235" spans="1:18" x14ac:dyDescent="0.45">
      <c r="A235" s="3" t="s">
        <v>656</v>
      </c>
      <c r="B235" s="1" t="s">
        <v>235</v>
      </c>
      <c r="C235" s="5">
        <v>5.0000000000000001E-3</v>
      </c>
      <c r="D235" s="4">
        <v>11965</v>
      </c>
      <c r="E235" s="4">
        <v>11965</v>
      </c>
      <c r="F235" s="4">
        <v>11950</v>
      </c>
      <c r="G235" s="5">
        <v>1.2536564981195152E-3</v>
      </c>
      <c r="H235" s="6"/>
      <c r="I235" s="2" t="str">
        <f t="shared" si="6"/>
        <v>-</v>
      </c>
      <c r="J235" s="1" t="str">
        <f>IF(I235="ERROR",BeepMe(),"")</f>
        <v/>
      </c>
      <c r="M235" s="2" t="str">
        <f t="array" ref="M235">IFERROR(INDEX(I:I,SMALL(IF($I$2:$I$450="ERROR", ROW($I$2:$I$450)),ROW()-1)), "")</f>
        <v/>
      </c>
      <c r="N235" s="2" t="str">
        <f t="array" ref="N235">IFERROR(INDEX(A:A,SMALL(IF($I$2:$I$450="ERROR", ROW($A$2:$A$450)),ROW()-1)), "")</f>
        <v/>
      </c>
      <c r="O235" s="2" t="str">
        <f t="array" ref="O235">IFERROR(INDEX(B:B,SMALL(IF($I$2:$I$450="ERROR", ROW($B$2:$B$450)),ROW()-1)), "")</f>
        <v/>
      </c>
      <c r="P235" s="5" t="str">
        <f t="array" ref="P235">IFERROR(INDEX(C:C,SMALL(IF($I$2:$I$450="ERROR", ROW($C$2:$C$450)),ROW()-1)), "")</f>
        <v/>
      </c>
      <c r="Q235" s="5" t="str">
        <f t="array" ref="Q235">IFERROR(INDEX(G:G,SMALL(IF($I$2:$I$450="ERROR", ROW($G$2:$G$450)),ROW()-1)), "")</f>
        <v/>
      </c>
      <c r="R235" s="8" t="str">
        <f t="shared" si="7"/>
        <v/>
      </c>
    </row>
    <row r="236" spans="1:18" x14ac:dyDescent="0.45">
      <c r="A236" s="3" t="s">
        <v>657</v>
      </c>
      <c r="B236" s="1" t="s">
        <v>236</v>
      </c>
      <c r="C236" s="5">
        <v>5.0000000000000001E-3</v>
      </c>
      <c r="D236" s="4">
        <v>7295</v>
      </c>
      <c r="E236" s="4">
        <v>7295</v>
      </c>
      <c r="F236" s="4">
        <v>7270</v>
      </c>
      <c r="G236" s="5">
        <v>3.4270047978067169E-3</v>
      </c>
      <c r="H236" s="6"/>
      <c r="I236" s="2" t="str">
        <f t="shared" si="6"/>
        <v>-</v>
      </c>
      <c r="J236" s="1" t="str">
        <f>IF(I236="ERROR",BeepMe(),"")</f>
        <v/>
      </c>
      <c r="M236" s="2" t="str">
        <f t="array" ref="M236">IFERROR(INDEX(I:I,SMALL(IF($I$2:$I$450="ERROR", ROW($I$2:$I$450)),ROW()-1)), "")</f>
        <v/>
      </c>
      <c r="N236" s="2" t="str">
        <f t="array" ref="N236">IFERROR(INDEX(A:A,SMALL(IF($I$2:$I$450="ERROR", ROW($A$2:$A$450)),ROW()-1)), "")</f>
        <v/>
      </c>
      <c r="O236" s="2" t="str">
        <f t="array" ref="O236">IFERROR(INDEX(B:B,SMALL(IF($I$2:$I$450="ERROR", ROW($B$2:$B$450)),ROW()-1)), "")</f>
        <v/>
      </c>
      <c r="P236" s="5" t="str">
        <f t="array" ref="P236">IFERROR(INDEX(C:C,SMALL(IF($I$2:$I$450="ERROR", ROW($C$2:$C$450)),ROW()-1)), "")</f>
        <v/>
      </c>
      <c r="Q236" s="5" t="str">
        <f t="array" ref="Q236">IFERROR(INDEX(G:G,SMALL(IF($I$2:$I$450="ERROR", ROW($G$2:$G$450)),ROW()-1)), "")</f>
        <v/>
      </c>
      <c r="R236" s="8" t="str">
        <f t="shared" si="7"/>
        <v/>
      </c>
    </row>
    <row r="237" spans="1:18" x14ac:dyDescent="0.45">
      <c r="A237" s="3" t="s">
        <v>658</v>
      </c>
      <c r="B237" s="1" t="s">
        <v>237</v>
      </c>
      <c r="C237" s="5">
        <v>5.0000000000000001E-3</v>
      </c>
      <c r="D237" s="4">
        <v>10740</v>
      </c>
      <c r="E237" s="4">
        <v>10740</v>
      </c>
      <c r="F237" s="4">
        <v>10730</v>
      </c>
      <c r="G237" s="5">
        <v>9.3109869646182495E-4</v>
      </c>
      <c r="H237" s="6"/>
      <c r="I237" s="2" t="str">
        <f t="shared" si="6"/>
        <v>-</v>
      </c>
      <c r="J237" s="1" t="str">
        <f>IF(I237="ERROR",BeepMe(),"")</f>
        <v/>
      </c>
      <c r="M237" s="2" t="str">
        <f t="array" ref="M237">IFERROR(INDEX(I:I,SMALL(IF($I$2:$I$450="ERROR", ROW($I$2:$I$450)),ROW()-1)), "")</f>
        <v/>
      </c>
      <c r="N237" s="2" t="str">
        <f t="array" ref="N237">IFERROR(INDEX(A:A,SMALL(IF($I$2:$I$450="ERROR", ROW($A$2:$A$450)),ROW()-1)), "")</f>
        <v/>
      </c>
      <c r="O237" s="2" t="str">
        <f t="array" ref="O237">IFERROR(INDEX(B:B,SMALL(IF($I$2:$I$450="ERROR", ROW($B$2:$B$450)),ROW()-1)), "")</f>
        <v/>
      </c>
      <c r="P237" s="5" t="str">
        <f t="array" ref="P237">IFERROR(INDEX(C:C,SMALL(IF($I$2:$I$450="ERROR", ROW($C$2:$C$450)),ROW()-1)), "")</f>
        <v/>
      </c>
      <c r="Q237" s="5" t="str">
        <f t="array" ref="Q237">IFERROR(INDEX(G:G,SMALL(IF($I$2:$I$450="ERROR", ROW($G$2:$G$450)),ROW()-1)), "")</f>
        <v/>
      </c>
      <c r="R237" s="8" t="str">
        <f t="shared" si="7"/>
        <v/>
      </c>
    </row>
    <row r="238" spans="1:18" x14ac:dyDescent="0.45">
      <c r="A238" s="3" t="s">
        <v>659</v>
      </c>
      <c r="B238" s="1" t="s">
        <v>238</v>
      </c>
      <c r="C238" s="5">
        <v>5.0000000000000001E-3</v>
      </c>
      <c r="D238" s="4">
        <v>10005</v>
      </c>
      <c r="E238" s="4">
        <v>10020</v>
      </c>
      <c r="F238" s="4">
        <v>9995</v>
      </c>
      <c r="G238" s="5">
        <v>2.4987506246876563E-3</v>
      </c>
      <c r="H238" s="6"/>
      <c r="I238" s="2" t="str">
        <f t="shared" si="6"/>
        <v>-</v>
      </c>
      <c r="J238" s="1" t="str">
        <f>IF(I238="ERROR",BeepMe(),"")</f>
        <v/>
      </c>
      <c r="M238" s="2" t="str">
        <f t="array" ref="M238">IFERROR(INDEX(I:I,SMALL(IF($I$2:$I$450="ERROR", ROW($I$2:$I$450)),ROW()-1)), "")</f>
        <v/>
      </c>
      <c r="N238" s="2" t="str">
        <f t="array" ref="N238">IFERROR(INDEX(A:A,SMALL(IF($I$2:$I$450="ERROR", ROW($A$2:$A$450)),ROW()-1)), "")</f>
        <v/>
      </c>
      <c r="O238" s="2" t="str">
        <f t="array" ref="O238">IFERROR(INDEX(B:B,SMALL(IF($I$2:$I$450="ERROR", ROW($B$2:$B$450)),ROW()-1)), "")</f>
        <v/>
      </c>
      <c r="P238" s="5" t="str">
        <f t="array" ref="P238">IFERROR(INDEX(C:C,SMALL(IF($I$2:$I$450="ERROR", ROW($C$2:$C$450)),ROW()-1)), "")</f>
        <v/>
      </c>
      <c r="Q238" s="5" t="str">
        <f t="array" ref="Q238">IFERROR(INDEX(G:G,SMALL(IF($I$2:$I$450="ERROR", ROW($G$2:$G$450)),ROW()-1)), "")</f>
        <v/>
      </c>
      <c r="R238" s="8" t="str">
        <f t="shared" si="7"/>
        <v/>
      </c>
    </row>
    <row r="239" spans="1:18" x14ac:dyDescent="0.45">
      <c r="A239" s="3" t="s">
        <v>660</v>
      </c>
      <c r="B239" s="1" t="s">
        <v>239</v>
      </c>
      <c r="C239" s="5">
        <v>5.0000000000000001E-3</v>
      </c>
      <c r="D239" s="4">
        <v>8765</v>
      </c>
      <c r="E239" s="4">
        <v>8770</v>
      </c>
      <c r="F239" s="4">
        <v>8765</v>
      </c>
      <c r="G239" s="5">
        <v>5.7045065601825438E-4</v>
      </c>
      <c r="H239" s="6"/>
      <c r="I239" s="2" t="str">
        <f t="shared" si="6"/>
        <v>-</v>
      </c>
      <c r="J239" s="1" t="str">
        <f>IF(I239="ERROR",BeepMe(),"")</f>
        <v/>
      </c>
      <c r="M239" s="2" t="str">
        <f t="array" ref="M239">IFERROR(INDEX(I:I,SMALL(IF($I$2:$I$450="ERROR", ROW($I$2:$I$450)),ROW()-1)), "")</f>
        <v/>
      </c>
      <c r="N239" s="2" t="str">
        <f t="array" ref="N239">IFERROR(INDEX(A:A,SMALL(IF($I$2:$I$450="ERROR", ROW($A$2:$A$450)),ROW()-1)), "")</f>
        <v/>
      </c>
      <c r="O239" s="2" t="str">
        <f t="array" ref="O239">IFERROR(INDEX(B:B,SMALL(IF($I$2:$I$450="ERROR", ROW($B$2:$B$450)),ROW()-1)), "")</f>
        <v/>
      </c>
      <c r="P239" s="5" t="str">
        <f t="array" ref="P239">IFERROR(INDEX(C:C,SMALL(IF($I$2:$I$450="ERROR", ROW($C$2:$C$450)),ROW()-1)), "")</f>
        <v/>
      </c>
      <c r="Q239" s="5" t="str">
        <f t="array" ref="Q239">IFERROR(INDEX(G:G,SMALL(IF($I$2:$I$450="ERROR", ROW($G$2:$G$450)),ROW()-1)), "")</f>
        <v/>
      </c>
      <c r="R239" s="8" t="str">
        <f t="shared" si="7"/>
        <v/>
      </c>
    </row>
    <row r="240" spans="1:18" x14ac:dyDescent="0.45">
      <c r="A240" s="3" t="s">
        <v>661</v>
      </c>
      <c r="B240" s="1" t="s">
        <v>240</v>
      </c>
      <c r="C240" s="5">
        <v>5.0000000000000001E-3</v>
      </c>
      <c r="D240" s="4">
        <v>11905</v>
      </c>
      <c r="E240" s="4">
        <v>11905</v>
      </c>
      <c r="F240" s="4">
        <v>11900</v>
      </c>
      <c r="G240" s="5">
        <v>4.1999160016799666E-4</v>
      </c>
      <c r="H240" s="6"/>
      <c r="I240" s="2" t="str">
        <f t="shared" si="6"/>
        <v>-</v>
      </c>
      <c r="J240" s="1" t="str">
        <f>IF(I240="ERROR",BeepMe(),"")</f>
        <v/>
      </c>
      <c r="M240" s="2" t="str">
        <f t="array" ref="M240">IFERROR(INDEX(I:I,SMALL(IF($I$2:$I$450="ERROR", ROW($I$2:$I$450)),ROW()-1)), "")</f>
        <v/>
      </c>
      <c r="N240" s="2" t="str">
        <f t="array" ref="N240">IFERROR(INDEX(A:A,SMALL(IF($I$2:$I$450="ERROR", ROW($A$2:$A$450)),ROW()-1)), "")</f>
        <v/>
      </c>
      <c r="O240" s="2" t="str">
        <f t="array" ref="O240">IFERROR(INDEX(B:B,SMALL(IF($I$2:$I$450="ERROR", ROW($B$2:$B$450)),ROW()-1)), "")</f>
        <v/>
      </c>
      <c r="P240" s="5" t="str">
        <f t="array" ref="P240">IFERROR(INDEX(C:C,SMALL(IF($I$2:$I$450="ERROR", ROW($C$2:$C$450)),ROW()-1)), "")</f>
        <v/>
      </c>
      <c r="Q240" s="5" t="str">
        <f t="array" ref="Q240">IFERROR(INDEX(G:G,SMALL(IF($I$2:$I$450="ERROR", ROW($G$2:$G$450)),ROW()-1)), "")</f>
        <v/>
      </c>
      <c r="R240" s="8" t="str">
        <f t="shared" si="7"/>
        <v/>
      </c>
    </row>
    <row r="241" spans="1:18" x14ac:dyDescent="0.45">
      <c r="A241" s="3" t="s">
        <v>662</v>
      </c>
      <c r="B241" s="1" t="s">
        <v>241</v>
      </c>
      <c r="C241" s="5">
        <v>5.0000000000000001E-3</v>
      </c>
      <c r="D241" s="4">
        <v>8290</v>
      </c>
      <c r="E241" s="4">
        <v>8290</v>
      </c>
      <c r="F241" s="4">
        <v>8265</v>
      </c>
      <c r="G241" s="5">
        <v>3.0156815440289505E-3</v>
      </c>
      <c r="H241" s="6"/>
      <c r="I241" s="2" t="str">
        <f t="shared" si="6"/>
        <v>-</v>
      </c>
      <c r="J241" s="1" t="str">
        <f>IF(I241="ERROR",BeepMe(),"")</f>
        <v/>
      </c>
      <c r="M241" s="2" t="str">
        <f t="array" ref="M241">IFERROR(INDEX(I:I,SMALL(IF($I$2:$I$450="ERROR", ROW($I$2:$I$450)),ROW()-1)), "")</f>
        <v/>
      </c>
      <c r="N241" s="2" t="str">
        <f t="array" ref="N241">IFERROR(INDEX(A:A,SMALL(IF($I$2:$I$450="ERROR", ROW($A$2:$A$450)),ROW()-1)), "")</f>
        <v/>
      </c>
      <c r="O241" s="2" t="str">
        <f t="array" ref="O241">IFERROR(INDEX(B:B,SMALL(IF($I$2:$I$450="ERROR", ROW($B$2:$B$450)),ROW()-1)), "")</f>
        <v/>
      </c>
      <c r="P241" s="5" t="str">
        <f t="array" ref="P241">IFERROR(INDEX(C:C,SMALL(IF($I$2:$I$450="ERROR", ROW($C$2:$C$450)),ROW()-1)), "")</f>
        <v/>
      </c>
      <c r="Q241" s="5" t="str">
        <f t="array" ref="Q241">IFERROR(INDEX(G:G,SMALL(IF($I$2:$I$450="ERROR", ROW($G$2:$G$450)),ROW()-1)), "")</f>
        <v/>
      </c>
      <c r="R241" s="8" t="str">
        <f t="shared" si="7"/>
        <v/>
      </c>
    </row>
    <row r="242" spans="1:18" x14ac:dyDescent="0.45">
      <c r="A242" s="3" t="s">
        <v>663</v>
      </c>
      <c r="B242" s="1" t="s">
        <v>242</v>
      </c>
      <c r="C242" s="5">
        <v>5.0000000000000001E-3</v>
      </c>
      <c r="D242" s="4">
        <v>5310</v>
      </c>
      <c r="E242" s="4">
        <v>5310</v>
      </c>
      <c r="F242" s="4">
        <v>5290</v>
      </c>
      <c r="G242" s="5">
        <v>3.766478342749529E-3</v>
      </c>
      <c r="H242" s="6"/>
      <c r="I242" s="2" t="str">
        <f t="shared" si="6"/>
        <v>-</v>
      </c>
      <c r="J242" s="1" t="str">
        <f>IF(I242="ERROR",BeepMe(),"")</f>
        <v/>
      </c>
      <c r="M242" s="2" t="str">
        <f t="array" ref="M242">IFERROR(INDEX(I:I,SMALL(IF($I$2:$I$450="ERROR", ROW($I$2:$I$450)),ROW()-1)), "")</f>
        <v/>
      </c>
      <c r="N242" s="2" t="str">
        <f t="array" ref="N242">IFERROR(INDEX(A:A,SMALL(IF($I$2:$I$450="ERROR", ROW($A$2:$A$450)),ROW()-1)), "")</f>
        <v/>
      </c>
      <c r="O242" s="2" t="str">
        <f t="array" ref="O242">IFERROR(INDEX(B:B,SMALL(IF($I$2:$I$450="ERROR", ROW($B$2:$B$450)),ROW()-1)), "")</f>
        <v/>
      </c>
      <c r="P242" s="5" t="str">
        <f t="array" ref="P242">IFERROR(INDEX(C:C,SMALL(IF($I$2:$I$450="ERROR", ROW($C$2:$C$450)),ROW()-1)), "")</f>
        <v/>
      </c>
      <c r="Q242" s="5" t="str">
        <f t="array" ref="Q242">IFERROR(INDEX(G:G,SMALL(IF($I$2:$I$450="ERROR", ROW($G$2:$G$450)),ROW()-1)), "")</f>
        <v/>
      </c>
      <c r="R242" s="8" t="str">
        <f t="shared" si="7"/>
        <v/>
      </c>
    </row>
    <row r="243" spans="1:18" x14ac:dyDescent="0.45">
      <c r="A243" s="3" t="s">
        <v>664</v>
      </c>
      <c r="B243" s="1" t="s">
        <v>243</v>
      </c>
      <c r="C243" s="5">
        <v>0.02</v>
      </c>
      <c r="D243" s="4">
        <v>12545</v>
      </c>
      <c r="E243" s="4">
        <v>12545</v>
      </c>
      <c r="F243" s="4">
        <v>12520</v>
      </c>
      <c r="G243" s="5">
        <v>1.9928258270227183E-3</v>
      </c>
      <c r="H243" s="6"/>
      <c r="I243" s="2" t="str">
        <f t="shared" si="6"/>
        <v>-</v>
      </c>
      <c r="J243" s="1" t="str">
        <f>IF(I243="ERROR",BeepMe(),"")</f>
        <v/>
      </c>
      <c r="M243" s="2" t="str">
        <f t="array" ref="M243">IFERROR(INDEX(I:I,SMALL(IF($I$2:$I$450="ERROR", ROW($I$2:$I$450)),ROW()-1)), "")</f>
        <v/>
      </c>
      <c r="N243" s="2" t="str">
        <f t="array" ref="N243">IFERROR(INDEX(A:A,SMALL(IF($I$2:$I$450="ERROR", ROW($A$2:$A$450)),ROW()-1)), "")</f>
        <v/>
      </c>
      <c r="O243" s="2" t="str">
        <f t="array" ref="O243">IFERROR(INDEX(B:B,SMALL(IF($I$2:$I$450="ERROR", ROW($B$2:$B$450)),ROW()-1)), "")</f>
        <v/>
      </c>
      <c r="P243" s="5" t="str">
        <f t="array" ref="P243">IFERROR(INDEX(C:C,SMALL(IF($I$2:$I$450="ERROR", ROW($C$2:$C$450)),ROW()-1)), "")</f>
        <v/>
      </c>
      <c r="Q243" s="5" t="str">
        <f t="array" ref="Q243">IFERROR(INDEX(G:G,SMALL(IF($I$2:$I$450="ERROR", ROW($G$2:$G$450)),ROW()-1)), "")</f>
        <v/>
      </c>
      <c r="R243" s="8" t="str">
        <f t="shared" si="7"/>
        <v/>
      </c>
    </row>
    <row r="244" spans="1:18" x14ac:dyDescent="0.45">
      <c r="A244" s="3" t="s">
        <v>665</v>
      </c>
      <c r="B244" s="1" t="s">
        <v>244</v>
      </c>
      <c r="C244" s="5">
        <v>0.01</v>
      </c>
      <c r="D244" s="4">
        <v>8840</v>
      </c>
      <c r="E244" s="4">
        <v>8755</v>
      </c>
      <c r="F244" s="4">
        <v>8725</v>
      </c>
      <c r="G244" s="5">
        <v>3.3936651583710408E-3</v>
      </c>
      <c r="H244" s="6"/>
      <c r="I244" s="2" t="str">
        <f t="shared" si="6"/>
        <v>-</v>
      </c>
      <c r="J244" s="1" t="str">
        <f>IF(I244="ERROR",BeepMe(),"")</f>
        <v/>
      </c>
      <c r="M244" s="2" t="str">
        <f t="array" ref="M244">IFERROR(INDEX(I:I,SMALL(IF($I$2:$I$450="ERROR", ROW($I$2:$I$450)),ROW()-1)), "")</f>
        <v/>
      </c>
      <c r="N244" s="2" t="str">
        <f t="array" ref="N244">IFERROR(INDEX(A:A,SMALL(IF($I$2:$I$450="ERROR", ROW($A$2:$A$450)),ROW()-1)), "")</f>
        <v/>
      </c>
      <c r="O244" s="2" t="str">
        <f t="array" ref="O244">IFERROR(INDEX(B:B,SMALL(IF($I$2:$I$450="ERROR", ROW($B$2:$B$450)),ROW()-1)), "")</f>
        <v/>
      </c>
      <c r="P244" s="5" t="str">
        <f t="array" ref="P244">IFERROR(INDEX(C:C,SMALL(IF($I$2:$I$450="ERROR", ROW($C$2:$C$450)),ROW()-1)), "")</f>
        <v/>
      </c>
      <c r="Q244" s="5" t="str">
        <f t="array" ref="Q244">IFERROR(INDEX(G:G,SMALL(IF($I$2:$I$450="ERROR", ROW($G$2:$G$450)),ROW()-1)), "")</f>
        <v/>
      </c>
      <c r="R244" s="8" t="str">
        <f t="shared" si="7"/>
        <v/>
      </c>
    </row>
    <row r="245" spans="1:18" x14ac:dyDescent="0.45">
      <c r="A245" s="3" t="s">
        <v>666</v>
      </c>
      <c r="B245" s="1" t="s">
        <v>245</v>
      </c>
      <c r="C245" s="5">
        <v>5.0000000000000001E-3</v>
      </c>
      <c r="D245" s="4">
        <v>16890</v>
      </c>
      <c r="E245" s="4">
        <v>16890</v>
      </c>
      <c r="F245" s="4">
        <v>16835</v>
      </c>
      <c r="G245" s="5">
        <v>3.2563647128478388E-3</v>
      </c>
      <c r="H245" s="6"/>
      <c r="I245" s="2" t="str">
        <f t="shared" si="6"/>
        <v>-</v>
      </c>
      <c r="J245" s="1" t="str">
        <f>IF(I245="ERROR",BeepMe(),"")</f>
        <v/>
      </c>
      <c r="M245" s="2" t="str">
        <f t="array" ref="M245">IFERROR(INDEX(I:I,SMALL(IF($I$2:$I$450="ERROR", ROW($I$2:$I$450)),ROW()-1)), "")</f>
        <v/>
      </c>
      <c r="N245" s="2" t="str">
        <f t="array" ref="N245">IFERROR(INDEX(A:A,SMALL(IF($I$2:$I$450="ERROR", ROW($A$2:$A$450)),ROW()-1)), "")</f>
        <v/>
      </c>
      <c r="O245" s="2" t="str">
        <f t="array" ref="O245">IFERROR(INDEX(B:B,SMALL(IF($I$2:$I$450="ERROR", ROW($B$2:$B$450)),ROW()-1)), "")</f>
        <v/>
      </c>
      <c r="P245" s="5" t="str">
        <f t="array" ref="P245">IFERROR(INDEX(C:C,SMALL(IF($I$2:$I$450="ERROR", ROW($C$2:$C$450)),ROW()-1)), "")</f>
        <v/>
      </c>
      <c r="Q245" s="5" t="str">
        <f t="array" ref="Q245">IFERROR(INDEX(G:G,SMALL(IF($I$2:$I$450="ERROR", ROW($G$2:$G$450)),ROW()-1)), "")</f>
        <v/>
      </c>
      <c r="R245" s="8" t="str">
        <f t="shared" si="7"/>
        <v/>
      </c>
    </row>
    <row r="246" spans="1:18" x14ac:dyDescent="0.45">
      <c r="A246" s="3" t="s">
        <v>667</v>
      </c>
      <c r="B246" s="1" t="s">
        <v>246</v>
      </c>
      <c r="C246" s="5">
        <v>5.0000000000000001E-3</v>
      </c>
      <c r="D246" s="4">
        <v>11665</v>
      </c>
      <c r="E246" s="4">
        <v>11665</v>
      </c>
      <c r="F246" s="4">
        <v>11660</v>
      </c>
      <c r="G246" s="5">
        <v>4.2863266180882982E-4</v>
      </c>
      <c r="H246" s="6"/>
      <c r="I246" s="2" t="str">
        <f t="shared" si="6"/>
        <v>-</v>
      </c>
      <c r="J246" s="1" t="str">
        <f>IF(I246="ERROR",BeepMe(),"")</f>
        <v/>
      </c>
      <c r="M246" s="2" t="str">
        <f t="array" ref="M246">IFERROR(INDEX(I:I,SMALL(IF($I$2:$I$450="ERROR", ROW($I$2:$I$450)),ROW()-1)), "")</f>
        <v/>
      </c>
      <c r="N246" s="2" t="str">
        <f t="array" ref="N246">IFERROR(INDEX(A:A,SMALL(IF($I$2:$I$450="ERROR", ROW($A$2:$A$450)),ROW()-1)), "")</f>
        <v/>
      </c>
      <c r="O246" s="2" t="str">
        <f t="array" ref="O246">IFERROR(INDEX(B:B,SMALL(IF($I$2:$I$450="ERROR", ROW($B$2:$B$450)),ROW()-1)), "")</f>
        <v/>
      </c>
      <c r="P246" s="5" t="str">
        <f t="array" ref="P246">IFERROR(INDEX(C:C,SMALL(IF($I$2:$I$450="ERROR", ROW($C$2:$C$450)),ROW()-1)), "")</f>
        <v/>
      </c>
      <c r="Q246" s="5" t="str">
        <f t="array" ref="Q246">IFERROR(INDEX(G:G,SMALL(IF($I$2:$I$450="ERROR", ROW($G$2:$G$450)),ROW()-1)), "")</f>
        <v/>
      </c>
      <c r="R246" s="8" t="str">
        <f t="shared" si="7"/>
        <v/>
      </c>
    </row>
    <row r="247" spans="1:18" x14ac:dyDescent="0.45">
      <c r="A247" s="3" t="s">
        <v>668</v>
      </c>
      <c r="B247" s="1" t="s">
        <v>247</v>
      </c>
      <c r="C247" s="5">
        <v>5.0000000000000001E-3</v>
      </c>
      <c r="D247" s="4">
        <v>16580</v>
      </c>
      <c r="E247" s="4">
        <v>16625</v>
      </c>
      <c r="F247" s="4">
        <v>16590</v>
      </c>
      <c r="G247" s="5">
        <v>2.1109770808202654E-3</v>
      </c>
      <c r="H247" s="6"/>
      <c r="I247" s="2" t="str">
        <f t="shared" si="6"/>
        <v>-</v>
      </c>
      <c r="J247" s="1" t="str">
        <f>IF(I247="ERROR",BeepMe(),"")</f>
        <v/>
      </c>
      <c r="M247" s="2" t="str">
        <f t="array" ref="M247">IFERROR(INDEX(I:I,SMALL(IF($I$2:$I$450="ERROR", ROW($I$2:$I$450)),ROW()-1)), "")</f>
        <v/>
      </c>
      <c r="N247" s="2" t="str">
        <f t="array" ref="N247">IFERROR(INDEX(A:A,SMALL(IF($I$2:$I$450="ERROR", ROW($A$2:$A$450)),ROW()-1)), "")</f>
        <v/>
      </c>
      <c r="O247" s="2" t="str">
        <f t="array" ref="O247">IFERROR(INDEX(B:B,SMALL(IF($I$2:$I$450="ERROR", ROW($B$2:$B$450)),ROW()-1)), "")</f>
        <v/>
      </c>
      <c r="P247" s="5" t="str">
        <f t="array" ref="P247">IFERROR(INDEX(C:C,SMALL(IF($I$2:$I$450="ERROR", ROW($C$2:$C$450)),ROW()-1)), "")</f>
        <v/>
      </c>
      <c r="Q247" s="5" t="str">
        <f t="array" ref="Q247">IFERROR(INDEX(G:G,SMALL(IF($I$2:$I$450="ERROR", ROW($G$2:$G$450)),ROW()-1)), "")</f>
        <v/>
      </c>
      <c r="R247" s="8" t="str">
        <f t="shared" si="7"/>
        <v/>
      </c>
    </row>
    <row r="248" spans="1:18" x14ac:dyDescent="0.45">
      <c r="A248" s="3" t="s">
        <v>669</v>
      </c>
      <c r="B248" s="1" t="s">
        <v>248</v>
      </c>
      <c r="C248" s="5">
        <v>5.0000000000000001E-3</v>
      </c>
      <c r="D248" s="4">
        <v>16675</v>
      </c>
      <c r="E248" s="4">
        <v>16675</v>
      </c>
      <c r="F248" s="4">
        <v>16635</v>
      </c>
      <c r="G248" s="5">
        <v>2.3988005997001498E-3</v>
      </c>
      <c r="H248" s="6"/>
      <c r="I248" s="2" t="str">
        <f t="shared" si="6"/>
        <v>-</v>
      </c>
      <c r="J248" s="1" t="str">
        <f>IF(I248="ERROR",BeepMe(),"")</f>
        <v/>
      </c>
      <c r="M248" s="2" t="str">
        <f t="array" ref="M248">IFERROR(INDEX(I:I,SMALL(IF($I$2:$I$450="ERROR", ROW($I$2:$I$450)),ROW()-1)), "")</f>
        <v/>
      </c>
      <c r="N248" s="2" t="str">
        <f t="array" ref="N248">IFERROR(INDEX(A:A,SMALL(IF($I$2:$I$450="ERROR", ROW($A$2:$A$450)),ROW()-1)), "")</f>
        <v/>
      </c>
      <c r="O248" s="2" t="str">
        <f t="array" ref="O248">IFERROR(INDEX(B:B,SMALL(IF($I$2:$I$450="ERROR", ROW($B$2:$B$450)),ROW()-1)), "")</f>
        <v/>
      </c>
      <c r="P248" s="5" t="str">
        <f t="array" ref="P248">IFERROR(INDEX(C:C,SMALL(IF($I$2:$I$450="ERROR", ROW($C$2:$C$450)),ROW()-1)), "")</f>
        <v/>
      </c>
      <c r="Q248" s="5" t="str">
        <f t="array" ref="Q248">IFERROR(INDEX(G:G,SMALL(IF($I$2:$I$450="ERROR", ROW($G$2:$G$450)),ROW()-1)), "")</f>
        <v/>
      </c>
      <c r="R248" s="8" t="str">
        <f t="shared" si="7"/>
        <v/>
      </c>
    </row>
    <row r="249" spans="1:18" x14ac:dyDescent="0.45">
      <c r="A249" s="3" t="s">
        <v>670</v>
      </c>
      <c r="B249" s="1" t="s">
        <v>249</v>
      </c>
      <c r="C249" s="5">
        <v>5.0000000000000001E-3</v>
      </c>
      <c r="D249" s="4">
        <v>16640</v>
      </c>
      <c r="E249" s="4">
        <v>16690</v>
      </c>
      <c r="F249" s="4">
        <v>16665</v>
      </c>
      <c r="G249" s="5">
        <v>1.5024038461538462E-3</v>
      </c>
      <c r="H249" s="6"/>
      <c r="I249" s="2" t="str">
        <f t="shared" si="6"/>
        <v>-</v>
      </c>
      <c r="J249" s="1" t="str">
        <f>IF(I249="ERROR",BeepMe(),"")</f>
        <v/>
      </c>
      <c r="M249" s="2" t="str">
        <f t="array" ref="M249">IFERROR(INDEX(I:I,SMALL(IF($I$2:$I$450="ERROR", ROW($I$2:$I$450)),ROW()-1)), "")</f>
        <v/>
      </c>
      <c r="N249" s="2" t="str">
        <f t="array" ref="N249">IFERROR(INDEX(A:A,SMALL(IF($I$2:$I$450="ERROR", ROW($A$2:$A$450)),ROW()-1)), "")</f>
        <v/>
      </c>
      <c r="O249" s="2" t="str">
        <f t="array" ref="O249">IFERROR(INDEX(B:B,SMALL(IF($I$2:$I$450="ERROR", ROW($B$2:$B$450)),ROW()-1)), "")</f>
        <v/>
      </c>
      <c r="P249" s="5" t="str">
        <f t="array" ref="P249">IFERROR(INDEX(C:C,SMALL(IF($I$2:$I$450="ERROR", ROW($C$2:$C$450)),ROW()-1)), "")</f>
        <v/>
      </c>
      <c r="Q249" s="5" t="str">
        <f t="array" ref="Q249">IFERROR(INDEX(G:G,SMALL(IF($I$2:$I$450="ERROR", ROW($G$2:$G$450)),ROW()-1)), "")</f>
        <v/>
      </c>
      <c r="R249" s="8" t="str">
        <f t="shared" si="7"/>
        <v/>
      </c>
    </row>
    <row r="250" spans="1:18" x14ac:dyDescent="0.45">
      <c r="A250" s="3" t="s">
        <v>671</v>
      </c>
      <c r="B250" s="1" t="s">
        <v>250</v>
      </c>
      <c r="C250" s="5">
        <v>0.01</v>
      </c>
      <c r="D250" s="4">
        <v>9625</v>
      </c>
      <c r="E250" s="4">
        <v>9625</v>
      </c>
      <c r="F250" s="4">
        <v>9615</v>
      </c>
      <c r="G250" s="5">
        <v>1.038961038961039E-3</v>
      </c>
      <c r="H250" s="6"/>
      <c r="I250" s="2" t="str">
        <f t="shared" si="6"/>
        <v>-</v>
      </c>
      <c r="J250" s="1" t="str">
        <f>IF(I250="ERROR",BeepMe(),"")</f>
        <v/>
      </c>
      <c r="M250" s="2" t="str">
        <f t="array" ref="M250">IFERROR(INDEX(I:I,SMALL(IF($I$2:$I$450="ERROR", ROW($I$2:$I$450)),ROW()-1)), "")</f>
        <v/>
      </c>
      <c r="N250" s="2" t="str">
        <f t="array" ref="N250">IFERROR(INDEX(A:A,SMALL(IF($I$2:$I$450="ERROR", ROW($A$2:$A$450)),ROW()-1)), "")</f>
        <v/>
      </c>
      <c r="O250" s="2" t="str">
        <f t="array" ref="O250">IFERROR(INDEX(B:B,SMALL(IF($I$2:$I$450="ERROR", ROW($B$2:$B$450)),ROW()-1)), "")</f>
        <v/>
      </c>
      <c r="P250" s="5" t="str">
        <f t="array" ref="P250">IFERROR(INDEX(C:C,SMALL(IF($I$2:$I$450="ERROR", ROW($C$2:$C$450)),ROW()-1)), "")</f>
        <v/>
      </c>
      <c r="Q250" s="5" t="str">
        <f t="array" ref="Q250">IFERROR(INDEX(G:G,SMALL(IF($I$2:$I$450="ERROR", ROW($G$2:$G$450)),ROW()-1)), "")</f>
        <v/>
      </c>
      <c r="R250" s="8" t="str">
        <f t="shared" si="7"/>
        <v/>
      </c>
    </row>
    <row r="251" spans="1:18" x14ac:dyDescent="0.45">
      <c r="A251" s="3" t="s">
        <v>672</v>
      </c>
      <c r="B251" s="1" t="s">
        <v>251</v>
      </c>
      <c r="C251" s="5">
        <v>5.0000000000000001E-3</v>
      </c>
      <c r="D251" s="4">
        <v>16770</v>
      </c>
      <c r="E251" s="4">
        <v>16780</v>
      </c>
      <c r="F251" s="4">
        <v>16710</v>
      </c>
      <c r="G251" s="5">
        <v>4.1741204531902205E-3</v>
      </c>
      <c r="H251" s="6"/>
      <c r="I251" s="2" t="str">
        <f t="shared" si="6"/>
        <v>-</v>
      </c>
      <c r="J251" s="1" t="str">
        <f>IF(I251="ERROR",BeepMe(),"")</f>
        <v/>
      </c>
      <c r="M251" s="2" t="str">
        <f t="array" ref="M251">IFERROR(INDEX(I:I,SMALL(IF($I$2:$I$450="ERROR", ROW($I$2:$I$450)),ROW()-1)), "")</f>
        <v/>
      </c>
      <c r="N251" s="2" t="str">
        <f t="array" ref="N251">IFERROR(INDEX(A:A,SMALL(IF($I$2:$I$450="ERROR", ROW($A$2:$A$450)),ROW()-1)), "")</f>
        <v/>
      </c>
      <c r="O251" s="2" t="str">
        <f t="array" ref="O251">IFERROR(INDEX(B:B,SMALL(IF($I$2:$I$450="ERROR", ROW($B$2:$B$450)),ROW()-1)), "")</f>
        <v/>
      </c>
      <c r="P251" s="5" t="str">
        <f t="array" ref="P251">IFERROR(INDEX(C:C,SMALL(IF($I$2:$I$450="ERROR", ROW($C$2:$C$450)),ROW()-1)), "")</f>
        <v/>
      </c>
      <c r="Q251" s="5" t="str">
        <f t="array" ref="Q251">IFERROR(INDEX(G:G,SMALL(IF($I$2:$I$450="ERROR", ROW($G$2:$G$450)),ROW()-1)), "")</f>
        <v/>
      </c>
      <c r="R251" s="8" t="str">
        <f t="shared" si="7"/>
        <v/>
      </c>
    </row>
    <row r="252" spans="1:18" x14ac:dyDescent="0.45">
      <c r="A252" s="3" t="s">
        <v>673</v>
      </c>
      <c r="B252" s="1" t="s">
        <v>252</v>
      </c>
      <c r="C252" s="5">
        <v>5.0000000000000001E-3</v>
      </c>
      <c r="D252" s="4">
        <v>16620</v>
      </c>
      <c r="E252" s="4">
        <v>16620</v>
      </c>
      <c r="F252" s="4">
        <v>16565</v>
      </c>
      <c r="G252" s="5">
        <v>3.3092659446450059E-3</v>
      </c>
      <c r="H252" s="6"/>
      <c r="I252" s="2" t="str">
        <f t="shared" si="6"/>
        <v>-</v>
      </c>
      <c r="J252" s="1" t="str">
        <f>IF(I252="ERROR",BeepMe(),"")</f>
        <v/>
      </c>
      <c r="M252" s="2" t="str">
        <f t="array" ref="M252">IFERROR(INDEX(I:I,SMALL(IF($I$2:$I$450="ERROR", ROW($I$2:$I$450)),ROW()-1)), "")</f>
        <v/>
      </c>
      <c r="N252" s="2" t="str">
        <f t="array" ref="N252">IFERROR(INDEX(A:A,SMALL(IF($I$2:$I$450="ERROR", ROW($A$2:$A$450)),ROW()-1)), "")</f>
        <v/>
      </c>
      <c r="O252" s="2" t="str">
        <f t="array" ref="O252">IFERROR(INDEX(B:B,SMALL(IF($I$2:$I$450="ERROR", ROW($B$2:$B$450)),ROW()-1)), "")</f>
        <v/>
      </c>
      <c r="P252" s="5" t="str">
        <f t="array" ref="P252">IFERROR(INDEX(C:C,SMALL(IF($I$2:$I$450="ERROR", ROW($C$2:$C$450)),ROW()-1)), "")</f>
        <v/>
      </c>
      <c r="Q252" s="5" t="str">
        <f t="array" ref="Q252">IFERROR(INDEX(G:G,SMALL(IF($I$2:$I$450="ERROR", ROW($G$2:$G$450)),ROW()-1)), "")</f>
        <v/>
      </c>
      <c r="R252" s="8" t="str">
        <f t="shared" si="7"/>
        <v/>
      </c>
    </row>
    <row r="253" spans="1:18" x14ac:dyDescent="0.45">
      <c r="A253" s="3" t="s">
        <v>674</v>
      </c>
      <c r="B253" s="1" t="s">
        <v>253</v>
      </c>
      <c r="C253" s="5">
        <v>5.0000000000000001E-3</v>
      </c>
      <c r="D253" s="4">
        <v>51570</v>
      </c>
      <c r="E253" s="4">
        <v>51610</v>
      </c>
      <c r="F253" s="4">
        <v>51575</v>
      </c>
      <c r="G253" s="5">
        <v>6.7868916036455302E-4</v>
      </c>
      <c r="H253" s="6"/>
      <c r="I253" s="2" t="str">
        <f t="shared" si="6"/>
        <v>-</v>
      </c>
      <c r="J253" s="1" t="str">
        <f>IF(I253="ERROR",BeepMe(),"")</f>
        <v/>
      </c>
      <c r="M253" s="2" t="str">
        <f t="array" ref="M253">IFERROR(INDEX(I:I,SMALL(IF($I$2:$I$450="ERROR", ROW($I$2:$I$450)),ROW()-1)), "")</f>
        <v/>
      </c>
      <c r="N253" s="2" t="str">
        <f t="array" ref="N253">IFERROR(INDEX(A:A,SMALL(IF($I$2:$I$450="ERROR", ROW($A$2:$A$450)),ROW()-1)), "")</f>
        <v/>
      </c>
      <c r="O253" s="2" t="str">
        <f t="array" ref="O253">IFERROR(INDEX(B:B,SMALL(IF($I$2:$I$450="ERROR", ROW($B$2:$B$450)),ROW()-1)), "")</f>
        <v/>
      </c>
      <c r="P253" s="5" t="str">
        <f t="array" ref="P253">IFERROR(INDEX(C:C,SMALL(IF($I$2:$I$450="ERROR", ROW($C$2:$C$450)),ROW()-1)), "")</f>
        <v/>
      </c>
      <c r="Q253" s="5" t="str">
        <f t="array" ref="Q253">IFERROR(INDEX(G:G,SMALL(IF($I$2:$I$450="ERROR", ROW($G$2:$G$450)),ROW()-1)), "")</f>
        <v/>
      </c>
      <c r="R253" s="8" t="str">
        <f t="shared" si="7"/>
        <v/>
      </c>
    </row>
    <row r="254" spans="1:18" x14ac:dyDescent="0.45">
      <c r="A254" s="3" t="s">
        <v>675</v>
      </c>
      <c r="B254" s="1" t="s">
        <v>254</v>
      </c>
      <c r="C254" s="5">
        <v>5.0000000000000001E-3</v>
      </c>
      <c r="D254" s="4">
        <v>35905</v>
      </c>
      <c r="E254" s="4">
        <v>35905</v>
      </c>
      <c r="F254" s="4">
        <v>35885</v>
      </c>
      <c r="G254" s="5">
        <v>5.5702548391588919E-4</v>
      </c>
      <c r="H254" s="6"/>
      <c r="I254" s="2" t="str">
        <f t="shared" si="6"/>
        <v>-</v>
      </c>
      <c r="J254" s="1" t="str">
        <f>IF(I254="ERROR",BeepMe(),"")</f>
        <v/>
      </c>
      <c r="M254" s="2" t="str">
        <f t="array" ref="M254">IFERROR(INDEX(I:I,SMALL(IF($I$2:$I$450="ERROR", ROW($I$2:$I$450)),ROW()-1)), "")</f>
        <v/>
      </c>
      <c r="N254" s="2" t="str">
        <f t="array" ref="N254">IFERROR(INDEX(A:A,SMALL(IF($I$2:$I$450="ERROR", ROW($A$2:$A$450)),ROW()-1)), "")</f>
        <v/>
      </c>
      <c r="O254" s="2" t="str">
        <f t="array" ref="O254">IFERROR(INDEX(B:B,SMALL(IF($I$2:$I$450="ERROR", ROW($B$2:$B$450)),ROW()-1)), "")</f>
        <v/>
      </c>
      <c r="P254" s="5" t="str">
        <f t="array" ref="P254">IFERROR(INDEX(C:C,SMALL(IF($I$2:$I$450="ERROR", ROW($C$2:$C$450)),ROW()-1)), "")</f>
        <v/>
      </c>
      <c r="Q254" s="5" t="str">
        <f t="array" ref="Q254">IFERROR(INDEX(G:G,SMALL(IF($I$2:$I$450="ERROR", ROW($G$2:$G$450)),ROW()-1)), "")</f>
        <v/>
      </c>
      <c r="R254" s="8" t="str">
        <f t="shared" si="7"/>
        <v/>
      </c>
    </row>
    <row r="255" spans="1:18" x14ac:dyDescent="0.45">
      <c r="A255" s="3" t="s">
        <v>676</v>
      </c>
      <c r="B255" s="1" t="s">
        <v>255</v>
      </c>
      <c r="C255" s="5">
        <v>5.0000000000000001E-3</v>
      </c>
      <c r="D255" s="4">
        <v>42795</v>
      </c>
      <c r="E255" s="4">
        <v>42795</v>
      </c>
      <c r="F255" s="4">
        <v>42770</v>
      </c>
      <c r="G255" s="5">
        <v>5.8418039490594693E-4</v>
      </c>
      <c r="H255" s="6"/>
      <c r="I255" s="2" t="str">
        <f t="shared" si="6"/>
        <v>-</v>
      </c>
      <c r="J255" s="1" t="str">
        <f>IF(I255="ERROR",BeepMe(),"")</f>
        <v/>
      </c>
      <c r="M255" s="2" t="str">
        <f t="array" ref="M255">IFERROR(INDEX(I:I,SMALL(IF($I$2:$I$450="ERROR", ROW($I$2:$I$450)),ROW()-1)), "")</f>
        <v/>
      </c>
      <c r="N255" s="2" t="str">
        <f t="array" ref="N255">IFERROR(INDEX(A:A,SMALL(IF($I$2:$I$450="ERROR", ROW($A$2:$A$450)),ROW()-1)), "")</f>
        <v/>
      </c>
      <c r="O255" s="2" t="str">
        <f t="array" ref="O255">IFERROR(INDEX(B:B,SMALL(IF($I$2:$I$450="ERROR", ROW($B$2:$B$450)),ROW()-1)), "")</f>
        <v/>
      </c>
      <c r="P255" s="5" t="str">
        <f t="array" ref="P255">IFERROR(INDEX(C:C,SMALL(IF($I$2:$I$450="ERROR", ROW($C$2:$C$450)),ROW()-1)), "")</f>
        <v/>
      </c>
      <c r="Q255" s="5" t="str">
        <f t="array" ref="Q255">IFERROR(INDEX(G:G,SMALL(IF($I$2:$I$450="ERROR", ROW($G$2:$G$450)),ROW()-1)), "")</f>
        <v/>
      </c>
      <c r="R255" s="8" t="str">
        <f t="shared" si="7"/>
        <v/>
      </c>
    </row>
    <row r="256" spans="1:18" x14ac:dyDescent="0.45">
      <c r="A256" s="3" t="s">
        <v>677</v>
      </c>
      <c r="B256" s="1" t="s">
        <v>256</v>
      </c>
      <c r="C256" s="5">
        <v>5.0000000000000001E-3</v>
      </c>
      <c r="D256" s="4">
        <v>50695</v>
      </c>
      <c r="E256" s="4">
        <v>50730</v>
      </c>
      <c r="F256" s="4">
        <v>50695</v>
      </c>
      <c r="G256" s="5">
        <v>6.9040339283953057E-4</v>
      </c>
      <c r="H256" s="6"/>
      <c r="I256" s="2" t="str">
        <f t="shared" si="6"/>
        <v>-</v>
      </c>
      <c r="J256" s="1" t="str">
        <f>IF(I256="ERROR",BeepMe(),"")</f>
        <v/>
      </c>
      <c r="M256" s="2" t="str">
        <f t="array" ref="M256">IFERROR(INDEX(I:I,SMALL(IF($I$2:$I$450="ERROR", ROW($I$2:$I$450)),ROW()-1)), "")</f>
        <v/>
      </c>
      <c r="N256" s="2" t="str">
        <f t="array" ref="N256">IFERROR(INDEX(A:A,SMALL(IF($I$2:$I$450="ERROR", ROW($A$2:$A$450)),ROW()-1)), "")</f>
        <v/>
      </c>
      <c r="O256" s="2" t="str">
        <f t="array" ref="O256">IFERROR(INDEX(B:B,SMALL(IF($I$2:$I$450="ERROR", ROW($B$2:$B$450)),ROW()-1)), "")</f>
        <v/>
      </c>
      <c r="P256" s="5" t="str">
        <f t="array" ref="P256">IFERROR(INDEX(C:C,SMALL(IF($I$2:$I$450="ERROR", ROW($C$2:$C$450)),ROW()-1)), "")</f>
        <v/>
      </c>
      <c r="Q256" s="5" t="str">
        <f t="array" ref="Q256">IFERROR(INDEX(G:G,SMALL(IF($I$2:$I$450="ERROR", ROW($G$2:$G$450)),ROW()-1)), "")</f>
        <v/>
      </c>
      <c r="R256" s="8" t="str">
        <f t="shared" si="7"/>
        <v/>
      </c>
    </row>
    <row r="257" spans="1:18" x14ac:dyDescent="0.45">
      <c r="A257" s="3" t="s">
        <v>678</v>
      </c>
      <c r="B257" s="1" t="s">
        <v>257</v>
      </c>
      <c r="C257" s="5">
        <v>5.0000000000000001E-3</v>
      </c>
      <c r="D257" s="4">
        <v>52410</v>
      </c>
      <c r="E257" s="4">
        <v>52375</v>
      </c>
      <c r="F257" s="4">
        <v>52315</v>
      </c>
      <c r="G257" s="5">
        <v>1.1448196908986834E-3</v>
      </c>
      <c r="H257" s="6"/>
      <c r="I257" s="2" t="str">
        <f t="shared" si="6"/>
        <v>-</v>
      </c>
      <c r="J257" s="1" t="str">
        <f>IF(I257="ERROR",BeepMe(),"")</f>
        <v/>
      </c>
      <c r="M257" s="2" t="str">
        <f t="array" ref="M257">IFERROR(INDEX(I:I,SMALL(IF($I$2:$I$450="ERROR", ROW($I$2:$I$450)),ROW()-1)), "")</f>
        <v/>
      </c>
      <c r="N257" s="2" t="str">
        <f t="array" ref="N257">IFERROR(INDEX(A:A,SMALL(IF($I$2:$I$450="ERROR", ROW($A$2:$A$450)),ROW()-1)), "")</f>
        <v/>
      </c>
      <c r="O257" s="2" t="str">
        <f t="array" ref="O257">IFERROR(INDEX(B:B,SMALL(IF($I$2:$I$450="ERROR", ROW($B$2:$B$450)),ROW()-1)), "")</f>
        <v/>
      </c>
      <c r="P257" s="5" t="str">
        <f t="array" ref="P257">IFERROR(INDEX(C:C,SMALL(IF($I$2:$I$450="ERROR", ROW($C$2:$C$450)),ROW()-1)), "")</f>
        <v/>
      </c>
      <c r="Q257" s="5" t="str">
        <f t="array" ref="Q257">IFERROR(INDEX(G:G,SMALL(IF($I$2:$I$450="ERROR", ROW($G$2:$G$450)),ROW()-1)), "")</f>
        <v/>
      </c>
      <c r="R257" s="8" t="str">
        <f t="shared" si="7"/>
        <v/>
      </c>
    </row>
    <row r="258" spans="1:18" x14ac:dyDescent="0.45">
      <c r="A258" s="3" t="s">
        <v>679</v>
      </c>
      <c r="B258" s="1" t="s">
        <v>258</v>
      </c>
      <c r="C258" s="5">
        <v>5.0000000000000001E-3</v>
      </c>
      <c r="D258" s="4">
        <v>12245</v>
      </c>
      <c r="E258" s="4">
        <v>12250</v>
      </c>
      <c r="F258" s="4">
        <v>12235</v>
      </c>
      <c r="G258" s="5">
        <v>1.2249897917517355E-3</v>
      </c>
      <c r="H258" s="6"/>
      <c r="I258" s="2" t="str">
        <f t="shared" si="6"/>
        <v>-</v>
      </c>
      <c r="J258" s="1" t="str">
        <f>IF(I258="ERROR",BeepMe(),"")</f>
        <v/>
      </c>
      <c r="M258" s="2" t="str">
        <f t="array" ref="M258">IFERROR(INDEX(I:I,SMALL(IF($I$2:$I$450="ERROR", ROW($I$2:$I$450)),ROW()-1)), "")</f>
        <v/>
      </c>
      <c r="N258" s="2" t="str">
        <f t="array" ref="N258">IFERROR(INDEX(A:A,SMALL(IF($I$2:$I$450="ERROR", ROW($A$2:$A$450)),ROW()-1)), "")</f>
        <v/>
      </c>
      <c r="O258" s="2" t="str">
        <f t="array" ref="O258">IFERROR(INDEX(B:B,SMALL(IF($I$2:$I$450="ERROR", ROW($B$2:$B$450)),ROW()-1)), "")</f>
        <v/>
      </c>
      <c r="P258" s="5" t="str">
        <f t="array" ref="P258">IFERROR(INDEX(C:C,SMALL(IF($I$2:$I$450="ERROR", ROW($C$2:$C$450)),ROW()-1)), "")</f>
        <v/>
      </c>
      <c r="Q258" s="5" t="str">
        <f t="array" ref="Q258">IFERROR(INDEX(G:G,SMALL(IF($I$2:$I$450="ERROR", ROW($G$2:$G$450)),ROW()-1)), "")</f>
        <v/>
      </c>
      <c r="R258" s="8" t="str">
        <f t="shared" si="7"/>
        <v/>
      </c>
    </row>
    <row r="259" spans="1:18" x14ac:dyDescent="0.45">
      <c r="A259" s="3" t="s">
        <v>680</v>
      </c>
      <c r="B259" s="1" t="s">
        <v>259</v>
      </c>
      <c r="C259" s="5">
        <v>5.0000000000000001E-3</v>
      </c>
      <c r="D259" s="4">
        <v>10995</v>
      </c>
      <c r="E259" s="4">
        <v>10995</v>
      </c>
      <c r="F259" s="4">
        <v>10975</v>
      </c>
      <c r="G259" s="5">
        <v>1.8190086402910413E-3</v>
      </c>
      <c r="H259" s="6"/>
      <c r="I259" s="2" t="str">
        <f t="shared" ref="I259:I322" si="8">IF(G259&gt;C259, "ERROR", "-")</f>
        <v>-</v>
      </c>
      <c r="J259" s="1" t="str">
        <f>IF(I259="ERROR",BeepMe(),"")</f>
        <v/>
      </c>
      <c r="M259" s="2" t="str">
        <f t="array" ref="M259">IFERROR(INDEX(I:I,SMALL(IF($I$2:$I$450="ERROR", ROW($I$2:$I$450)),ROW()-1)), "")</f>
        <v/>
      </c>
      <c r="N259" s="2" t="str">
        <f t="array" ref="N259">IFERROR(INDEX(A:A,SMALL(IF($I$2:$I$450="ERROR", ROW($A$2:$A$450)),ROW()-1)), "")</f>
        <v/>
      </c>
      <c r="O259" s="2" t="str">
        <f t="array" ref="O259">IFERROR(INDEX(B:B,SMALL(IF($I$2:$I$450="ERROR", ROW($B$2:$B$450)),ROW()-1)), "")</f>
        <v/>
      </c>
      <c r="P259" s="5" t="str">
        <f t="array" ref="P259">IFERROR(INDEX(C:C,SMALL(IF($I$2:$I$450="ERROR", ROW($C$2:$C$450)),ROW()-1)), "")</f>
        <v/>
      </c>
      <c r="Q259" s="5" t="str">
        <f t="array" ref="Q259">IFERROR(INDEX(G:G,SMALL(IF($I$2:$I$450="ERROR", ROW($G$2:$G$450)),ROW()-1)), "")</f>
        <v/>
      </c>
      <c r="R259" s="8" t="str">
        <f t="shared" ref="R259:R322" si="9">IFERROR(Q259-P259,"")</f>
        <v/>
      </c>
    </row>
    <row r="260" spans="1:18" x14ac:dyDescent="0.45">
      <c r="A260" s="3" t="s">
        <v>681</v>
      </c>
      <c r="B260" s="1" t="s">
        <v>260</v>
      </c>
      <c r="C260" s="5">
        <v>5.0000000000000001E-3</v>
      </c>
      <c r="D260" s="4">
        <v>13755</v>
      </c>
      <c r="E260" s="4">
        <v>13755</v>
      </c>
      <c r="F260" s="4">
        <v>13730</v>
      </c>
      <c r="G260" s="5">
        <v>1.8175209014903672E-3</v>
      </c>
      <c r="H260" s="6"/>
      <c r="I260" s="2" t="str">
        <f t="shared" si="8"/>
        <v>-</v>
      </c>
      <c r="J260" s="1" t="str">
        <f>IF(I260="ERROR",BeepMe(),"")</f>
        <v/>
      </c>
      <c r="M260" s="2" t="str">
        <f t="array" ref="M260">IFERROR(INDEX(I:I,SMALL(IF($I$2:$I$450="ERROR", ROW($I$2:$I$450)),ROW()-1)), "")</f>
        <v/>
      </c>
      <c r="N260" s="2" t="str">
        <f t="array" ref="N260">IFERROR(INDEX(A:A,SMALL(IF($I$2:$I$450="ERROR", ROW($A$2:$A$450)),ROW()-1)), "")</f>
        <v/>
      </c>
      <c r="O260" s="2" t="str">
        <f t="array" ref="O260">IFERROR(INDEX(B:B,SMALL(IF($I$2:$I$450="ERROR", ROW($B$2:$B$450)),ROW()-1)), "")</f>
        <v/>
      </c>
      <c r="P260" s="5" t="str">
        <f t="array" ref="P260">IFERROR(INDEX(C:C,SMALL(IF($I$2:$I$450="ERROR", ROW($C$2:$C$450)),ROW()-1)), "")</f>
        <v/>
      </c>
      <c r="Q260" s="5" t="str">
        <f t="array" ref="Q260">IFERROR(INDEX(G:G,SMALL(IF($I$2:$I$450="ERROR", ROW($G$2:$G$450)),ROW()-1)), "")</f>
        <v/>
      </c>
      <c r="R260" s="8" t="str">
        <f t="shared" si="9"/>
        <v/>
      </c>
    </row>
    <row r="261" spans="1:18" x14ac:dyDescent="0.45">
      <c r="A261" s="3" t="s">
        <v>682</v>
      </c>
      <c r="B261" s="1" t="s">
        <v>261</v>
      </c>
      <c r="C261" s="5">
        <v>5.0000000000000001E-3</v>
      </c>
      <c r="D261" s="4">
        <v>16130</v>
      </c>
      <c r="E261" s="4">
        <v>16130</v>
      </c>
      <c r="F261" s="4">
        <v>16085</v>
      </c>
      <c r="G261" s="5">
        <v>2.7898326100433972E-3</v>
      </c>
      <c r="H261" s="6"/>
      <c r="I261" s="2" t="str">
        <f t="shared" si="8"/>
        <v>-</v>
      </c>
      <c r="J261" s="1" t="str">
        <f>IF(I261="ERROR",BeepMe(),"")</f>
        <v/>
      </c>
      <c r="M261" s="2" t="str">
        <f t="array" ref="M261">IFERROR(INDEX(I:I,SMALL(IF($I$2:$I$450="ERROR", ROW($I$2:$I$450)),ROW()-1)), "")</f>
        <v/>
      </c>
      <c r="N261" s="2" t="str">
        <f t="array" ref="N261">IFERROR(INDEX(A:A,SMALL(IF($I$2:$I$450="ERROR", ROW($A$2:$A$450)),ROW()-1)), "")</f>
        <v/>
      </c>
      <c r="O261" s="2" t="str">
        <f t="array" ref="O261">IFERROR(INDEX(B:B,SMALL(IF($I$2:$I$450="ERROR", ROW($B$2:$B$450)),ROW()-1)), "")</f>
        <v/>
      </c>
      <c r="P261" s="5" t="str">
        <f t="array" ref="P261">IFERROR(INDEX(C:C,SMALL(IF($I$2:$I$450="ERROR", ROW($C$2:$C$450)),ROW()-1)), "")</f>
        <v/>
      </c>
      <c r="Q261" s="5" t="str">
        <f t="array" ref="Q261">IFERROR(INDEX(G:G,SMALL(IF($I$2:$I$450="ERROR", ROW($G$2:$G$450)),ROW()-1)), "")</f>
        <v/>
      </c>
      <c r="R261" s="8" t="str">
        <f t="shared" si="9"/>
        <v/>
      </c>
    </row>
    <row r="262" spans="1:18" x14ac:dyDescent="0.45">
      <c r="A262" s="3" t="s">
        <v>683</v>
      </c>
      <c r="B262" s="1" t="s">
        <v>262</v>
      </c>
      <c r="C262" s="5">
        <v>5.0000000000000001E-3</v>
      </c>
      <c r="D262" s="4">
        <v>11890</v>
      </c>
      <c r="E262" s="4">
        <v>11890</v>
      </c>
      <c r="F262" s="4">
        <v>11885</v>
      </c>
      <c r="G262" s="5">
        <v>4.2052144659377626E-4</v>
      </c>
      <c r="H262" s="6"/>
      <c r="I262" s="2" t="str">
        <f t="shared" si="8"/>
        <v>-</v>
      </c>
      <c r="J262" s="1" t="str">
        <f>IF(I262="ERROR",BeepMe(),"")</f>
        <v/>
      </c>
      <c r="M262" s="2" t="str">
        <f t="array" ref="M262">IFERROR(INDEX(I:I,SMALL(IF($I$2:$I$450="ERROR", ROW($I$2:$I$450)),ROW()-1)), "")</f>
        <v/>
      </c>
      <c r="N262" s="2" t="str">
        <f t="array" ref="N262">IFERROR(INDEX(A:A,SMALL(IF($I$2:$I$450="ERROR", ROW($A$2:$A$450)),ROW()-1)), "")</f>
        <v/>
      </c>
      <c r="O262" s="2" t="str">
        <f t="array" ref="O262">IFERROR(INDEX(B:B,SMALL(IF($I$2:$I$450="ERROR", ROW($B$2:$B$450)),ROW()-1)), "")</f>
        <v/>
      </c>
      <c r="P262" s="5" t="str">
        <f t="array" ref="P262">IFERROR(INDEX(C:C,SMALL(IF($I$2:$I$450="ERROR", ROW($C$2:$C$450)),ROW()-1)), "")</f>
        <v/>
      </c>
      <c r="Q262" s="5" t="str">
        <f t="array" ref="Q262">IFERROR(INDEX(G:G,SMALL(IF($I$2:$I$450="ERROR", ROW($G$2:$G$450)),ROW()-1)), "")</f>
        <v/>
      </c>
      <c r="R262" s="8" t="str">
        <f t="shared" si="9"/>
        <v/>
      </c>
    </row>
    <row r="263" spans="1:18" x14ac:dyDescent="0.45">
      <c r="A263" s="3" t="s">
        <v>684</v>
      </c>
      <c r="B263" s="1" t="s">
        <v>263</v>
      </c>
      <c r="C263" s="5">
        <v>5.0000000000000001E-3</v>
      </c>
      <c r="D263" s="4">
        <v>7170</v>
      </c>
      <c r="E263" s="4">
        <v>7180</v>
      </c>
      <c r="F263" s="4">
        <v>7170</v>
      </c>
      <c r="G263" s="5">
        <v>1.3947001394700139E-3</v>
      </c>
      <c r="H263" s="6"/>
      <c r="I263" s="2" t="str">
        <f t="shared" si="8"/>
        <v>-</v>
      </c>
      <c r="J263" s="1" t="str">
        <f>IF(I263="ERROR",BeepMe(),"")</f>
        <v/>
      </c>
      <c r="M263" s="2" t="str">
        <f t="array" ref="M263">IFERROR(INDEX(I:I,SMALL(IF($I$2:$I$450="ERROR", ROW($I$2:$I$450)),ROW()-1)), "")</f>
        <v/>
      </c>
      <c r="N263" s="2" t="str">
        <f t="array" ref="N263">IFERROR(INDEX(A:A,SMALL(IF($I$2:$I$450="ERROR", ROW($A$2:$A$450)),ROW()-1)), "")</f>
        <v/>
      </c>
      <c r="O263" s="2" t="str">
        <f t="array" ref="O263">IFERROR(INDEX(B:B,SMALL(IF($I$2:$I$450="ERROR", ROW($B$2:$B$450)),ROW()-1)), "")</f>
        <v/>
      </c>
      <c r="P263" s="5" t="str">
        <f t="array" ref="P263">IFERROR(INDEX(C:C,SMALL(IF($I$2:$I$450="ERROR", ROW($C$2:$C$450)),ROW()-1)), "")</f>
        <v/>
      </c>
      <c r="Q263" s="5" t="str">
        <f t="array" ref="Q263">IFERROR(INDEX(G:G,SMALL(IF($I$2:$I$450="ERROR", ROW($G$2:$G$450)),ROW()-1)), "")</f>
        <v/>
      </c>
      <c r="R263" s="8" t="str">
        <f t="shared" si="9"/>
        <v/>
      </c>
    </row>
    <row r="264" spans="1:18" x14ac:dyDescent="0.45">
      <c r="A264" s="3" t="s">
        <v>685</v>
      </c>
      <c r="B264" s="1" t="s">
        <v>264</v>
      </c>
      <c r="C264" s="5">
        <v>5.0000000000000001E-3</v>
      </c>
      <c r="D264" s="4">
        <v>48845</v>
      </c>
      <c r="E264" s="4">
        <v>48945</v>
      </c>
      <c r="F264" s="4">
        <v>48820</v>
      </c>
      <c r="G264" s="5">
        <v>2.5591155696591257E-3</v>
      </c>
      <c r="H264" s="6"/>
      <c r="I264" s="2" t="str">
        <f t="shared" si="8"/>
        <v>-</v>
      </c>
      <c r="J264" s="1" t="str">
        <f>IF(I264="ERROR",BeepMe(),"")</f>
        <v/>
      </c>
      <c r="M264" s="2" t="str">
        <f t="array" ref="M264">IFERROR(INDEX(I:I,SMALL(IF($I$2:$I$450="ERROR", ROW($I$2:$I$450)),ROW()-1)), "")</f>
        <v/>
      </c>
      <c r="N264" s="2" t="str">
        <f t="array" ref="N264">IFERROR(INDEX(A:A,SMALL(IF($I$2:$I$450="ERROR", ROW($A$2:$A$450)),ROW()-1)), "")</f>
        <v/>
      </c>
      <c r="O264" s="2" t="str">
        <f t="array" ref="O264">IFERROR(INDEX(B:B,SMALL(IF($I$2:$I$450="ERROR", ROW($B$2:$B$450)),ROW()-1)), "")</f>
        <v/>
      </c>
      <c r="P264" s="5" t="str">
        <f t="array" ref="P264">IFERROR(INDEX(C:C,SMALL(IF($I$2:$I$450="ERROR", ROW($C$2:$C$450)),ROW()-1)), "")</f>
        <v/>
      </c>
      <c r="Q264" s="5" t="str">
        <f t="array" ref="Q264">IFERROR(INDEX(G:G,SMALL(IF($I$2:$I$450="ERROR", ROW($G$2:$G$450)),ROW()-1)), "")</f>
        <v/>
      </c>
      <c r="R264" s="8" t="str">
        <f t="shared" si="9"/>
        <v/>
      </c>
    </row>
    <row r="265" spans="1:18" x14ac:dyDescent="0.45">
      <c r="A265" s="3" t="s">
        <v>686</v>
      </c>
      <c r="B265" s="1" t="s">
        <v>265</v>
      </c>
      <c r="C265" s="5">
        <v>5.0000000000000001E-3</v>
      </c>
      <c r="D265" s="4">
        <v>27760</v>
      </c>
      <c r="E265" s="4">
        <v>27765</v>
      </c>
      <c r="F265" s="4">
        <v>27700</v>
      </c>
      <c r="G265" s="5">
        <v>2.3414985590778097E-3</v>
      </c>
      <c r="H265" s="6"/>
      <c r="I265" s="2" t="str">
        <f t="shared" si="8"/>
        <v>-</v>
      </c>
      <c r="J265" s="1" t="str">
        <f>IF(I265="ERROR",BeepMe(),"")</f>
        <v/>
      </c>
      <c r="M265" s="2" t="str">
        <f t="array" ref="M265">IFERROR(INDEX(I:I,SMALL(IF($I$2:$I$450="ERROR", ROW($I$2:$I$450)),ROW()-1)), "")</f>
        <v/>
      </c>
      <c r="N265" s="2" t="str">
        <f t="array" ref="N265">IFERROR(INDEX(A:A,SMALL(IF($I$2:$I$450="ERROR", ROW($A$2:$A$450)),ROW()-1)), "")</f>
        <v/>
      </c>
      <c r="O265" s="2" t="str">
        <f t="array" ref="O265">IFERROR(INDEX(B:B,SMALL(IF($I$2:$I$450="ERROR", ROW($B$2:$B$450)),ROW()-1)), "")</f>
        <v/>
      </c>
      <c r="P265" s="5" t="str">
        <f t="array" ref="P265">IFERROR(INDEX(C:C,SMALL(IF($I$2:$I$450="ERROR", ROW($C$2:$C$450)),ROW()-1)), "")</f>
        <v/>
      </c>
      <c r="Q265" s="5" t="str">
        <f t="array" ref="Q265">IFERROR(INDEX(G:G,SMALL(IF($I$2:$I$450="ERROR", ROW($G$2:$G$450)),ROW()-1)), "")</f>
        <v/>
      </c>
      <c r="R265" s="8" t="str">
        <f t="shared" si="9"/>
        <v/>
      </c>
    </row>
    <row r="266" spans="1:18" x14ac:dyDescent="0.45">
      <c r="A266" s="3" t="s">
        <v>687</v>
      </c>
      <c r="B266" s="1" t="s">
        <v>266</v>
      </c>
      <c r="C266" s="5">
        <v>0.01</v>
      </c>
      <c r="D266" s="4">
        <v>10345</v>
      </c>
      <c r="E266" s="4">
        <v>10345</v>
      </c>
      <c r="F266" s="4">
        <v>10295</v>
      </c>
      <c r="G266" s="5">
        <v>4.8332527791203478E-3</v>
      </c>
      <c r="H266" s="6"/>
      <c r="I266" s="2" t="str">
        <f t="shared" si="8"/>
        <v>-</v>
      </c>
      <c r="J266" s="1" t="str">
        <f>IF(I266="ERROR",BeepMe(),"")</f>
        <v/>
      </c>
      <c r="M266" s="2" t="str">
        <f t="array" ref="M266">IFERROR(INDEX(I:I,SMALL(IF($I$2:$I$450="ERROR", ROW($I$2:$I$450)),ROW()-1)), "")</f>
        <v/>
      </c>
      <c r="N266" s="2" t="str">
        <f t="array" ref="N266">IFERROR(INDEX(A:A,SMALL(IF($I$2:$I$450="ERROR", ROW($A$2:$A$450)),ROW()-1)), "")</f>
        <v/>
      </c>
      <c r="O266" s="2" t="str">
        <f t="array" ref="O266">IFERROR(INDEX(B:B,SMALL(IF($I$2:$I$450="ERROR", ROW($B$2:$B$450)),ROW()-1)), "")</f>
        <v/>
      </c>
      <c r="P266" s="5" t="str">
        <f t="array" ref="P266">IFERROR(INDEX(C:C,SMALL(IF($I$2:$I$450="ERROR", ROW($C$2:$C$450)),ROW()-1)), "")</f>
        <v/>
      </c>
      <c r="Q266" s="5" t="str">
        <f t="array" ref="Q266">IFERROR(INDEX(G:G,SMALL(IF($I$2:$I$450="ERROR", ROW($G$2:$G$450)),ROW()-1)), "")</f>
        <v/>
      </c>
      <c r="R266" s="8" t="str">
        <f t="shared" si="9"/>
        <v/>
      </c>
    </row>
    <row r="267" spans="1:18" x14ac:dyDescent="0.45">
      <c r="A267" s="3" t="s">
        <v>688</v>
      </c>
      <c r="B267" s="1" t="s">
        <v>267</v>
      </c>
      <c r="C267" s="5">
        <v>0.01</v>
      </c>
      <c r="D267" s="4">
        <v>8715</v>
      </c>
      <c r="E267" s="4">
        <v>8750</v>
      </c>
      <c r="F267" s="4">
        <v>8715</v>
      </c>
      <c r="G267" s="5">
        <v>4.0160642570281121E-3</v>
      </c>
      <c r="H267" s="6"/>
      <c r="I267" s="2" t="str">
        <f t="shared" si="8"/>
        <v>-</v>
      </c>
      <c r="J267" s="1" t="str">
        <f>IF(I267="ERROR",BeepMe(),"")</f>
        <v/>
      </c>
      <c r="M267" s="2" t="str">
        <f t="array" ref="M267">IFERROR(INDEX(I:I,SMALL(IF($I$2:$I$450="ERROR", ROW($I$2:$I$450)),ROW()-1)), "")</f>
        <v/>
      </c>
      <c r="N267" s="2" t="str">
        <f t="array" ref="N267">IFERROR(INDEX(A:A,SMALL(IF($I$2:$I$450="ERROR", ROW($A$2:$A$450)),ROW()-1)), "")</f>
        <v/>
      </c>
      <c r="O267" s="2" t="str">
        <f t="array" ref="O267">IFERROR(INDEX(B:B,SMALL(IF($I$2:$I$450="ERROR", ROW($B$2:$B$450)),ROW()-1)), "")</f>
        <v/>
      </c>
      <c r="P267" s="5" t="str">
        <f t="array" ref="P267">IFERROR(INDEX(C:C,SMALL(IF($I$2:$I$450="ERROR", ROW($C$2:$C$450)),ROW()-1)), "")</f>
        <v/>
      </c>
      <c r="Q267" s="5" t="str">
        <f t="array" ref="Q267">IFERROR(INDEX(G:G,SMALL(IF($I$2:$I$450="ERROR", ROW($G$2:$G$450)),ROW()-1)), "")</f>
        <v/>
      </c>
      <c r="R267" s="8" t="str">
        <f t="shared" si="9"/>
        <v/>
      </c>
    </row>
    <row r="268" spans="1:18" x14ac:dyDescent="0.45">
      <c r="A268" s="3" t="s">
        <v>689</v>
      </c>
      <c r="B268" s="1" t="s">
        <v>268</v>
      </c>
      <c r="C268" s="5">
        <v>5.0000000000000001E-3</v>
      </c>
      <c r="D268" s="4">
        <v>16405</v>
      </c>
      <c r="E268" s="4">
        <v>16405</v>
      </c>
      <c r="F268" s="4">
        <v>16360</v>
      </c>
      <c r="G268" s="5">
        <v>2.7430661383724473E-3</v>
      </c>
      <c r="H268" s="6"/>
      <c r="I268" s="2" t="str">
        <f t="shared" si="8"/>
        <v>-</v>
      </c>
      <c r="J268" s="1" t="str">
        <f>IF(I268="ERROR",BeepMe(),"")</f>
        <v/>
      </c>
      <c r="M268" s="2" t="str">
        <f t="array" ref="M268">IFERROR(INDEX(I:I,SMALL(IF($I$2:$I$450="ERROR", ROW($I$2:$I$450)),ROW()-1)), "")</f>
        <v/>
      </c>
      <c r="N268" s="2" t="str">
        <f t="array" ref="N268">IFERROR(INDEX(A:A,SMALL(IF($I$2:$I$450="ERROR", ROW($A$2:$A$450)),ROW()-1)), "")</f>
        <v/>
      </c>
      <c r="O268" s="2" t="str">
        <f t="array" ref="O268">IFERROR(INDEX(B:B,SMALL(IF($I$2:$I$450="ERROR", ROW($B$2:$B$450)),ROW()-1)), "")</f>
        <v/>
      </c>
      <c r="P268" s="5" t="str">
        <f t="array" ref="P268">IFERROR(INDEX(C:C,SMALL(IF($I$2:$I$450="ERROR", ROW($C$2:$C$450)),ROW()-1)), "")</f>
        <v/>
      </c>
      <c r="Q268" s="5" t="str">
        <f t="array" ref="Q268">IFERROR(INDEX(G:G,SMALL(IF($I$2:$I$450="ERROR", ROW($G$2:$G$450)),ROW()-1)), "")</f>
        <v/>
      </c>
      <c r="R268" s="8" t="str">
        <f t="shared" si="9"/>
        <v/>
      </c>
    </row>
    <row r="269" spans="1:18" x14ac:dyDescent="0.45">
      <c r="A269" s="3" t="s">
        <v>690</v>
      </c>
      <c r="B269" s="1" t="s">
        <v>269</v>
      </c>
      <c r="C269" s="5">
        <v>5.0000000000000001E-3</v>
      </c>
      <c r="D269" s="4">
        <v>12705</v>
      </c>
      <c r="E269" s="4">
        <v>12705</v>
      </c>
      <c r="F269" s="4">
        <v>12670</v>
      </c>
      <c r="G269" s="5">
        <v>2.7548209366391185E-3</v>
      </c>
      <c r="H269" s="6"/>
      <c r="I269" s="2" t="str">
        <f t="shared" si="8"/>
        <v>-</v>
      </c>
      <c r="J269" s="1" t="str">
        <f>IF(I269="ERROR",BeepMe(),"")</f>
        <v/>
      </c>
      <c r="M269" s="2" t="str">
        <f t="array" ref="M269">IFERROR(INDEX(I:I,SMALL(IF($I$2:$I$450="ERROR", ROW($I$2:$I$450)),ROW()-1)), "")</f>
        <v/>
      </c>
      <c r="N269" s="2" t="str">
        <f t="array" ref="N269">IFERROR(INDEX(A:A,SMALL(IF($I$2:$I$450="ERROR", ROW($A$2:$A$450)),ROW()-1)), "")</f>
        <v/>
      </c>
      <c r="O269" s="2" t="str">
        <f t="array" ref="O269">IFERROR(INDEX(B:B,SMALL(IF($I$2:$I$450="ERROR", ROW($B$2:$B$450)),ROW()-1)), "")</f>
        <v/>
      </c>
      <c r="P269" s="5" t="str">
        <f t="array" ref="P269">IFERROR(INDEX(C:C,SMALL(IF($I$2:$I$450="ERROR", ROW($C$2:$C$450)),ROW()-1)), "")</f>
        <v/>
      </c>
      <c r="Q269" s="5" t="str">
        <f t="array" ref="Q269">IFERROR(INDEX(G:G,SMALL(IF($I$2:$I$450="ERROR", ROW($G$2:$G$450)),ROW()-1)), "")</f>
        <v/>
      </c>
      <c r="R269" s="8" t="str">
        <f t="shared" si="9"/>
        <v/>
      </c>
    </row>
    <row r="270" spans="1:18" x14ac:dyDescent="0.45">
      <c r="A270" s="3" t="s">
        <v>691</v>
      </c>
      <c r="B270" s="1" t="s">
        <v>270</v>
      </c>
      <c r="C270" s="5">
        <v>5.0000000000000001E-3</v>
      </c>
      <c r="D270" s="4">
        <v>20800</v>
      </c>
      <c r="E270" s="4">
        <v>20800</v>
      </c>
      <c r="F270" s="4">
        <v>20770</v>
      </c>
      <c r="G270" s="5">
        <v>1.4423076923076924E-3</v>
      </c>
      <c r="H270" s="6"/>
      <c r="I270" s="2" t="str">
        <f t="shared" si="8"/>
        <v>-</v>
      </c>
      <c r="J270" s="1" t="str">
        <f>IF(I270="ERROR",BeepMe(),"")</f>
        <v/>
      </c>
      <c r="M270" s="2" t="str">
        <f t="array" ref="M270">IFERROR(INDEX(I:I,SMALL(IF($I$2:$I$450="ERROR", ROW($I$2:$I$450)),ROW()-1)), "")</f>
        <v/>
      </c>
      <c r="N270" s="2" t="str">
        <f t="array" ref="N270">IFERROR(INDEX(A:A,SMALL(IF($I$2:$I$450="ERROR", ROW($A$2:$A$450)),ROW()-1)), "")</f>
        <v/>
      </c>
      <c r="O270" s="2" t="str">
        <f t="array" ref="O270">IFERROR(INDEX(B:B,SMALL(IF($I$2:$I$450="ERROR", ROW($B$2:$B$450)),ROW()-1)), "")</f>
        <v/>
      </c>
      <c r="P270" s="5" t="str">
        <f t="array" ref="P270">IFERROR(INDEX(C:C,SMALL(IF($I$2:$I$450="ERROR", ROW($C$2:$C$450)),ROW()-1)), "")</f>
        <v/>
      </c>
      <c r="Q270" s="5" t="str">
        <f t="array" ref="Q270">IFERROR(INDEX(G:G,SMALL(IF($I$2:$I$450="ERROR", ROW($G$2:$G$450)),ROW()-1)), "")</f>
        <v/>
      </c>
      <c r="R270" s="8" t="str">
        <f t="shared" si="9"/>
        <v/>
      </c>
    </row>
    <row r="271" spans="1:18" x14ac:dyDescent="0.45">
      <c r="A271" s="3" t="s">
        <v>692</v>
      </c>
      <c r="B271" s="1" t="s">
        <v>271</v>
      </c>
      <c r="C271" s="5">
        <v>0.01</v>
      </c>
      <c r="D271" s="4">
        <v>17710</v>
      </c>
      <c r="E271" s="4">
        <v>17725</v>
      </c>
      <c r="F271" s="4">
        <v>17710</v>
      </c>
      <c r="G271" s="5">
        <v>8.4697910784867312E-4</v>
      </c>
      <c r="H271" s="6"/>
      <c r="I271" s="2" t="str">
        <f t="shared" si="8"/>
        <v>-</v>
      </c>
      <c r="J271" s="1" t="str">
        <f>IF(I271="ERROR",BeepMe(),"")</f>
        <v/>
      </c>
      <c r="M271" s="2" t="str">
        <f t="array" ref="M271">IFERROR(INDEX(I:I,SMALL(IF($I$2:$I$450="ERROR", ROW($I$2:$I$450)),ROW()-1)), "")</f>
        <v/>
      </c>
      <c r="N271" s="2" t="str">
        <f t="array" ref="N271">IFERROR(INDEX(A:A,SMALL(IF($I$2:$I$450="ERROR", ROW($A$2:$A$450)),ROW()-1)), "")</f>
        <v/>
      </c>
      <c r="O271" s="2" t="str">
        <f t="array" ref="O271">IFERROR(INDEX(B:B,SMALL(IF($I$2:$I$450="ERROR", ROW($B$2:$B$450)),ROW()-1)), "")</f>
        <v/>
      </c>
      <c r="P271" s="5" t="str">
        <f t="array" ref="P271">IFERROR(INDEX(C:C,SMALL(IF($I$2:$I$450="ERROR", ROW($C$2:$C$450)),ROW()-1)), "")</f>
        <v/>
      </c>
      <c r="Q271" s="5" t="str">
        <f t="array" ref="Q271">IFERROR(INDEX(G:G,SMALL(IF($I$2:$I$450="ERROR", ROW($G$2:$G$450)),ROW()-1)), "")</f>
        <v/>
      </c>
      <c r="R271" s="8" t="str">
        <f t="shared" si="9"/>
        <v/>
      </c>
    </row>
    <row r="272" spans="1:18" x14ac:dyDescent="0.45">
      <c r="A272" s="3" t="s">
        <v>693</v>
      </c>
      <c r="B272" s="1" t="s">
        <v>272</v>
      </c>
      <c r="C272" s="5">
        <v>5.0000000000000001E-3</v>
      </c>
      <c r="D272" s="4">
        <v>27920</v>
      </c>
      <c r="E272" s="4">
        <v>27920</v>
      </c>
      <c r="F272" s="4">
        <v>27890</v>
      </c>
      <c r="G272" s="5">
        <v>1.0744985673352436E-3</v>
      </c>
      <c r="H272" s="6"/>
      <c r="I272" s="2" t="str">
        <f t="shared" si="8"/>
        <v>-</v>
      </c>
      <c r="J272" s="1" t="str">
        <f>IF(I272="ERROR",BeepMe(),"")</f>
        <v/>
      </c>
      <c r="M272" s="2" t="str">
        <f t="array" ref="M272">IFERROR(INDEX(I:I,SMALL(IF($I$2:$I$450="ERROR", ROW($I$2:$I$450)),ROW()-1)), "")</f>
        <v/>
      </c>
      <c r="N272" s="2" t="str">
        <f t="array" ref="N272">IFERROR(INDEX(A:A,SMALL(IF($I$2:$I$450="ERROR", ROW($A$2:$A$450)),ROW()-1)), "")</f>
        <v/>
      </c>
      <c r="O272" s="2" t="str">
        <f t="array" ref="O272">IFERROR(INDEX(B:B,SMALL(IF($I$2:$I$450="ERROR", ROW($B$2:$B$450)),ROW()-1)), "")</f>
        <v/>
      </c>
      <c r="P272" s="5" t="str">
        <f t="array" ref="P272">IFERROR(INDEX(C:C,SMALL(IF($I$2:$I$450="ERROR", ROW($C$2:$C$450)),ROW()-1)), "")</f>
        <v/>
      </c>
      <c r="Q272" s="5" t="str">
        <f t="array" ref="Q272">IFERROR(INDEX(G:G,SMALL(IF($I$2:$I$450="ERROR", ROW($G$2:$G$450)),ROW()-1)), "")</f>
        <v/>
      </c>
      <c r="R272" s="8" t="str">
        <f t="shared" si="9"/>
        <v/>
      </c>
    </row>
    <row r="273" spans="1:18" x14ac:dyDescent="0.45">
      <c r="A273" s="3" t="s">
        <v>694</v>
      </c>
      <c r="B273" s="1" t="s">
        <v>273</v>
      </c>
      <c r="C273" s="5">
        <v>0.01</v>
      </c>
      <c r="D273" s="4">
        <v>11475</v>
      </c>
      <c r="E273" s="4">
        <v>11485</v>
      </c>
      <c r="F273" s="4">
        <v>11475</v>
      </c>
      <c r="G273" s="5">
        <v>8.7145969498910673E-4</v>
      </c>
      <c r="H273" s="6"/>
      <c r="I273" s="2" t="str">
        <f t="shared" si="8"/>
        <v>-</v>
      </c>
      <c r="J273" s="1" t="str">
        <f>IF(I273="ERROR",BeepMe(),"")</f>
        <v/>
      </c>
      <c r="M273" s="2" t="str">
        <f t="array" ref="M273">IFERROR(INDEX(I:I,SMALL(IF($I$2:$I$450="ERROR", ROW($I$2:$I$450)),ROW()-1)), "")</f>
        <v/>
      </c>
      <c r="N273" s="2" t="str">
        <f t="array" ref="N273">IFERROR(INDEX(A:A,SMALL(IF($I$2:$I$450="ERROR", ROW($A$2:$A$450)),ROW()-1)), "")</f>
        <v/>
      </c>
      <c r="O273" s="2" t="str">
        <f t="array" ref="O273">IFERROR(INDEX(B:B,SMALL(IF($I$2:$I$450="ERROR", ROW($B$2:$B$450)),ROW()-1)), "")</f>
        <v/>
      </c>
      <c r="P273" s="5" t="str">
        <f t="array" ref="P273">IFERROR(INDEX(C:C,SMALL(IF($I$2:$I$450="ERROR", ROW($C$2:$C$450)),ROW()-1)), "")</f>
        <v/>
      </c>
      <c r="Q273" s="5" t="str">
        <f t="array" ref="Q273">IFERROR(INDEX(G:G,SMALL(IF($I$2:$I$450="ERROR", ROW($G$2:$G$450)),ROW()-1)), "")</f>
        <v/>
      </c>
      <c r="R273" s="8" t="str">
        <f t="shared" si="9"/>
        <v/>
      </c>
    </row>
    <row r="274" spans="1:18" x14ac:dyDescent="0.45">
      <c r="A274" s="3" t="s">
        <v>695</v>
      </c>
      <c r="B274" s="1" t="s">
        <v>274</v>
      </c>
      <c r="C274" s="5">
        <v>5.0000000000000001E-3</v>
      </c>
      <c r="D274" s="4">
        <v>20645</v>
      </c>
      <c r="E274" s="4">
        <v>20645</v>
      </c>
      <c r="F274" s="4">
        <v>20640</v>
      </c>
      <c r="G274" s="5">
        <v>2.4218939210462581E-4</v>
      </c>
      <c r="H274" s="6"/>
      <c r="I274" s="2" t="str">
        <f t="shared" si="8"/>
        <v>-</v>
      </c>
      <c r="J274" s="1" t="str">
        <f>IF(I274="ERROR",BeepMe(),"")</f>
        <v/>
      </c>
      <c r="M274" s="2" t="str">
        <f t="array" ref="M274">IFERROR(INDEX(I:I,SMALL(IF($I$2:$I$450="ERROR", ROW($I$2:$I$450)),ROW()-1)), "")</f>
        <v/>
      </c>
      <c r="N274" s="2" t="str">
        <f t="array" ref="N274">IFERROR(INDEX(A:A,SMALL(IF($I$2:$I$450="ERROR", ROW($A$2:$A$450)),ROW()-1)), "")</f>
        <v/>
      </c>
      <c r="O274" s="2" t="str">
        <f t="array" ref="O274">IFERROR(INDEX(B:B,SMALL(IF($I$2:$I$450="ERROR", ROW($B$2:$B$450)),ROW()-1)), "")</f>
        <v/>
      </c>
      <c r="P274" s="5" t="str">
        <f t="array" ref="P274">IFERROR(INDEX(C:C,SMALL(IF($I$2:$I$450="ERROR", ROW($C$2:$C$450)),ROW()-1)), "")</f>
        <v/>
      </c>
      <c r="Q274" s="5" t="str">
        <f t="array" ref="Q274">IFERROR(INDEX(G:G,SMALL(IF($I$2:$I$450="ERROR", ROW($G$2:$G$450)),ROW()-1)), "")</f>
        <v/>
      </c>
      <c r="R274" s="8" t="str">
        <f t="shared" si="9"/>
        <v/>
      </c>
    </row>
    <row r="275" spans="1:18" x14ac:dyDescent="0.45">
      <c r="A275" s="3" t="s">
        <v>696</v>
      </c>
      <c r="B275" s="1" t="s">
        <v>275</v>
      </c>
      <c r="C275" s="5">
        <v>5.0000000000000001E-3</v>
      </c>
      <c r="D275" s="4">
        <v>20125</v>
      </c>
      <c r="E275" s="4">
        <v>20125</v>
      </c>
      <c r="F275" s="4">
        <v>20120</v>
      </c>
      <c r="G275" s="5">
        <v>2.4844720496894411E-4</v>
      </c>
      <c r="H275" s="6"/>
      <c r="I275" s="2" t="str">
        <f t="shared" si="8"/>
        <v>-</v>
      </c>
      <c r="J275" s="1" t="str">
        <f>IF(I275="ERROR",BeepMe(),"")</f>
        <v/>
      </c>
      <c r="M275" s="2" t="str">
        <f t="array" ref="M275">IFERROR(INDEX(I:I,SMALL(IF($I$2:$I$450="ERROR", ROW($I$2:$I$450)),ROW()-1)), "")</f>
        <v/>
      </c>
      <c r="N275" s="2" t="str">
        <f t="array" ref="N275">IFERROR(INDEX(A:A,SMALL(IF($I$2:$I$450="ERROR", ROW($A$2:$A$450)),ROW()-1)), "")</f>
        <v/>
      </c>
      <c r="O275" s="2" t="str">
        <f t="array" ref="O275">IFERROR(INDEX(B:B,SMALL(IF($I$2:$I$450="ERROR", ROW($B$2:$B$450)),ROW()-1)), "")</f>
        <v/>
      </c>
      <c r="P275" s="5" t="str">
        <f t="array" ref="P275">IFERROR(INDEX(C:C,SMALL(IF($I$2:$I$450="ERROR", ROW($C$2:$C$450)),ROW()-1)), "")</f>
        <v/>
      </c>
      <c r="Q275" s="5" t="str">
        <f t="array" ref="Q275">IFERROR(INDEX(G:G,SMALL(IF($I$2:$I$450="ERROR", ROW($G$2:$G$450)),ROW()-1)), "")</f>
        <v/>
      </c>
      <c r="R275" s="8" t="str">
        <f t="shared" si="9"/>
        <v/>
      </c>
    </row>
    <row r="276" spans="1:18" x14ac:dyDescent="0.45">
      <c r="A276" s="3" t="s">
        <v>697</v>
      </c>
      <c r="B276" s="1" t="s">
        <v>276</v>
      </c>
      <c r="C276" s="5">
        <v>5.0000000000000001E-3</v>
      </c>
      <c r="D276" s="4">
        <v>10195</v>
      </c>
      <c r="E276" s="4">
        <v>10195</v>
      </c>
      <c r="F276" s="4">
        <v>10185</v>
      </c>
      <c r="G276" s="5">
        <v>9.8087297694948511E-4</v>
      </c>
      <c r="H276" s="6"/>
      <c r="I276" s="2" t="str">
        <f t="shared" si="8"/>
        <v>-</v>
      </c>
      <c r="J276" s="1" t="str">
        <f>IF(I276="ERROR",BeepMe(),"")</f>
        <v/>
      </c>
      <c r="M276" s="2" t="str">
        <f t="array" ref="M276">IFERROR(INDEX(I:I,SMALL(IF($I$2:$I$450="ERROR", ROW($I$2:$I$450)),ROW()-1)), "")</f>
        <v/>
      </c>
      <c r="N276" s="2" t="str">
        <f t="array" ref="N276">IFERROR(INDEX(A:A,SMALL(IF($I$2:$I$450="ERROR", ROW($A$2:$A$450)),ROW()-1)), "")</f>
        <v/>
      </c>
      <c r="O276" s="2" t="str">
        <f t="array" ref="O276">IFERROR(INDEX(B:B,SMALL(IF($I$2:$I$450="ERROR", ROW($B$2:$B$450)),ROW()-1)), "")</f>
        <v/>
      </c>
      <c r="P276" s="5" t="str">
        <f t="array" ref="P276">IFERROR(INDEX(C:C,SMALL(IF($I$2:$I$450="ERROR", ROW($C$2:$C$450)),ROW()-1)), "")</f>
        <v/>
      </c>
      <c r="Q276" s="5" t="str">
        <f t="array" ref="Q276">IFERROR(INDEX(G:G,SMALL(IF($I$2:$I$450="ERROR", ROW($G$2:$G$450)),ROW()-1)), "")</f>
        <v/>
      </c>
      <c r="R276" s="8" t="str">
        <f t="shared" si="9"/>
        <v/>
      </c>
    </row>
    <row r="277" spans="1:18" x14ac:dyDescent="0.45">
      <c r="A277" s="3" t="s">
        <v>698</v>
      </c>
      <c r="B277" s="1" t="s">
        <v>277</v>
      </c>
      <c r="C277" s="5">
        <v>5.0000000000000001E-3</v>
      </c>
      <c r="D277" s="4">
        <v>10655</v>
      </c>
      <c r="E277" s="4">
        <v>10655</v>
      </c>
      <c r="F277" s="4">
        <v>10610</v>
      </c>
      <c r="G277" s="5">
        <v>4.2233693101830123E-3</v>
      </c>
      <c r="H277" s="6"/>
      <c r="I277" s="2" t="str">
        <f t="shared" si="8"/>
        <v>-</v>
      </c>
      <c r="J277" s="1" t="str">
        <f>IF(I277="ERROR",BeepMe(),"")</f>
        <v/>
      </c>
      <c r="M277" s="2" t="str">
        <f t="array" ref="M277">IFERROR(INDEX(I:I,SMALL(IF($I$2:$I$450="ERROR", ROW($I$2:$I$450)),ROW()-1)), "")</f>
        <v/>
      </c>
      <c r="N277" s="2" t="str">
        <f t="array" ref="N277">IFERROR(INDEX(A:A,SMALL(IF($I$2:$I$450="ERROR", ROW($A$2:$A$450)),ROW()-1)), "")</f>
        <v/>
      </c>
      <c r="O277" s="2" t="str">
        <f t="array" ref="O277">IFERROR(INDEX(B:B,SMALL(IF($I$2:$I$450="ERROR", ROW($B$2:$B$450)),ROW()-1)), "")</f>
        <v/>
      </c>
      <c r="P277" s="5" t="str">
        <f t="array" ref="P277">IFERROR(INDEX(C:C,SMALL(IF($I$2:$I$450="ERROR", ROW($C$2:$C$450)),ROW()-1)), "")</f>
        <v/>
      </c>
      <c r="Q277" s="5" t="str">
        <f t="array" ref="Q277">IFERROR(INDEX(G:G,SMALL(IF($I$2:$I$450="ERROR", ROW($G$2:$G$450)),ROW()-1)), "")</f>
        <v/>
      </c>
      <c r="R277" s="8" t="str">
        <f t="shared" si="9"/>
        <v/>
      </c>
    </row>
    <row r="278" spans="1:18" x14ac:dyDescent="0.45">
      <c r="A278" s="3" t="s">
        <v>699</v>
      </c>
      <c r="B278" s="1" t="s">
        <v>278</v>
      </c>
      <c r="C278" s="5">
        <v>5.0000000000000001E-3</v>
      </c>
      <c r="D278" s="4">
        <v>14925</v>
      </c>
      <c r="E278" s="4">
        <v>14980</v>
      </c>
      <c r="F278" s="4">
        <v>14880</v>
      </c>
      <c r="G278" s="5">
        <v>6.7001675041876048E-3</v>
      </c>
      <c r="H278" s="6"/>
      <c r="I278" s="2" t="str">
        <f t="shared" si="8"/>
        <v>ERROR</v>
      </c>
      <c r="J278" s="1" t="str">
        <f>IF(I278="ERROR",BeepMe(),"")</f>
        <v/>
      </c>
      <c r="M278" s="2" t="str">
        <f t="array" ref="M278">IFERROR(INDEX(I:I,SMALL(IF($I$2:$I$450="ERROR", ROW($I$2:$I$450)),ROW()-1)), "")</f>
        <v/>
      </c>
      <c r="N278" s="2" t="str">
        <f t="array" ref="N278">IFERROR(INDEX(A:A,SMALL(IF($I$2:$I$450="ERROR", ROW($A$2:$A$450)),ROW()-1)), "")</f>
        <v/>
      </c>
      <c r="O278" s="2" t="str">
        <f t="array" ref="O278">IFERROR(INDEX(B:B,SMALL(IF($I$2:$I$450="ERROR", ROW($B$2:$B$450)),ROW()-1)), "")</f>
        <v/>
      </c>
      <c r="P278" s="5" t="str">
        <f t="array" ref="P278">IFERROR(INDEX(C:C,SMALL(IF($I$2:$I$450="ERROR", ROW($C$2:$C$450)),ROW()-1)), "")</f>
        <v/>
      </c>
      <c r="Q278" s="5" t="str">
        <f t="array" ref="Q278">IFERROR(INDEX(G:G,SMALL(IF($I$2:$I$450="ERROR", ROW($G$2:$G$450)),ROW()-1)), "")</f>
        <v/>
      </c>
      <c r="R278" s="8" t="str">
        <f t="shared" si="9"/>
        <v/>
      </c>
    </row>
    <row r="279" spans="1:18" x14ac:dyDescent="0.45">
      <c r="A279" s="3" t="s">
        <v>700</v>
      </c>
      <c r="B279" s="1" t="s">
        <v>279</v>
      </c>
      <c r="C279" s="5">
        <v>0.01</v>
      </c>
      <c r="D279" s="4">
        <v>14765</v>
      </c>
      <c r="E279" s="4">
        <v>14765</v>
      </c>
      <c r="F279" s="4">
        <v>14730</v>
      </c>
      <c r="G279" s="5">
        <v>2.3704707077548256E-3</v>
      </c>
      <c r="H279" s="6"/>
      <c r="I279" s="2" t="str">
        <f t="shared" si="8"/>
        <v>-</v>
      </c>
      <c r="J279" s="1" t="str">
        <f>IF(I279="ERROR",BeepMe(),"")</f>
        <v/>
      </c>
      <c r="M279" s="2" t="str">
        <f t="array" ref="M279">IFERROR(INDEX(I:I,SMALL(IF($I$2:$I$450="ERROR", ROW($I$2:$I$450)),ROW()-1)), "")</f>
        <v/>
      </c>
      <c r="N279" s="2" t="str">
        <f t="array" ref="N279">IFERROR(INDEX(A:A,SMALL(IF($I$2:$I$450="ERROR", ROW($A$2:$A$450)),ROW()-1)), "")</f>
        <v/>
      </c>
      <c r="O279" s="2" t="str">
        <f t="array" ref="O279">IFERROR(INDEX(B:B,SMALL(IF($I$2:$I$450="ERROR", ROW($B$2:$B$450)),ROW()-1)), "")</f>
        <v/>
      </c>
      <c r="P279" s="5" t="str">
        <f t="array" ref="P279">IFERROR(INDEX(C:C,SMALL(IF($I$2:$I$450="ERROR", ROW($C$2:$C$450)),ROW()-1)), "")</f>
        <v/>
      </c>
      <c r="Q279" s="5" t="str">
        <f t="array" ref="Q279">IFERROR(INDEX(G:G,SMALL(IF($I$2:$I$450="ERROR", ROW($G$2:$G$450)),ROW()-1)), "")</f>
        <v/>
      </c>
      <c r="R279" s="8" t="str">
        <f t="shared" si="9"/>
        <v/>
      </c>
    </row>
    <row r="280" spans="1:18" x14ac:dyDescent="0.45">
      <c r="A280" s="3" t="s">
        <v>701</v>
      </c>
      <c r="B280" s="1" t="s">
        <v>280</v>
      </c>
      <c r="C280" s="5">
        <v>5.0000000000000001E-3</v>
      </c>
      <c r="D280" s="4">
        <v>16625</v>
      </c>
      <c r="E280" s="4">
        <v>16670</v>
      </c>
      <c r="F280" s="4">
        <v>16625</v>
      </c>
      <c r="G280" s="5">
        <v>2.7067669172932329E-3</v>
      </c>
      <c r="H280" s="6"/>
      <c r="I280" s="2" t="str">
        <f t="shared" si="8"/>
        <v>-</v>
      </c>
      <c r="J280" s="1" t="str">
        <f>IF(I280="ERROR",BeepMe(),"")</f>
        <v/>
      </c>
      <c r="M280" s="2" t="str">
        <f t="array" ref="M280">IFERROR(INDEX(I:I,SMALL(IF($I$2:$I$450="ERROR", ROW($I$2:$I$450)),ROW()-1)), "")</f>
        <v/>
      </c>
      <c r="N280" s="2" t="str">
        <f t="array" ref="N280">IFERROR(INDEX(A:A,SMALL(IF($I$2:$I$450="ERROR", ROW($A$2:$A$450)),ROW()-1)), "")</f>
        <v/>
      </c>
      <c r="O280" s="2" t="str">
        <f t="array" ref="O280">IFERROR(INDEX(B:B,SMALL(IF($I$2:$I$450="ERROR", ROW($B$2:$B$450)),ROW()-1)), "")</f>
        <v/>
      </c>
      <c r="P280" s="5" t="str">
        <f t="array" ref="P280">IFERROR(INDEX(C:C,SMALL(IF($I$2:$I$450="ERROR", ROW($C$2:$C$450)),ROW()-1)), "")</f>
        <v/>
      </c>
      <c r="Q280" s="5" t="str">
        <f t="array" ref="Q280">IFERROR(INDEX(G:G,SMALL(IF($I$2:$I$450="ERROR", ROW($G$2:$G$450)),ROW()-1)), "")</f>
        <v/>
      </c>
      <c r="R280" s="8" t="str">
        <f t="shared" si="9"/>
        <v/>
      </c>
    </row>
    <row r="281" spans="1:18" x14ac:dyDescent="0.45">
      <c r="A281" s="3" t="s">
        <v>702</v>
      </c>
      <c r="B281" s="1" t="s">
        <v>281</v>
      </c>
      <c r="C281" s="5">
        <v>5.0000000000000001E-3</v>
      </c>
      <c r="D281" s="4">
        <v>10770</v>
      </c>
      <c r="E281" s="4">
        <v>10780</v>
      </c>
      <c r="F281" s="4">
        <v>10745</v>
      </c>
      <c r="G281" s="5">
        <v>3.2497678737233053E-3</v>
      </c>
      <c r="H281" s="6"/>
      <c r="I281" s="2" t="str">
        <f t="shared" si="8"/>
        <v>-</v>
      </c>
      <c r="J281" s="1" t="str">
        <f>IF(I281="ERROR",BeepMe(),"")</f>
        <v/>
      </c>
      <c r="M281" s="2" t="str">
        <f t="array" ref="M281">IFERROR(INDEX(I:I,SMALL(IF($I$2:$I$450="ERROR", ROW($I$2:$I$450)),ROW()-1)), "")</f>
        <v/>
      </c>
      <c r="N281" s="2" t="str">
        <f t="array" ref="N281">IFERROR(INDEX(A:A,SMALL(IF($I$2:$I$450="ERROR", ROW($A$2:$A$450)),ROW()-1)), "")</f>
        <v/>
      </c>
      <c r="O281" s="2" t="str">
        <f t="array" ref="O281">IFERROR(INDEX(B:B,SMALL(IF($I$2:$I$450="ERROR", ROW($B$2:$B$450)),ROW()-1)), "")</f>
        <v/>
      </c>
      <c r="P281" s="5" t="str">
        <f t="array" ref="P281">IFERROR(INDEX(C:C,SMALL(IF($I$2:$I$450="ERROR", ROW($C$2:$C$450)),ROW()-1)), "")</f>
        <v/>
      </c>
      <c r="Q281" s="5" t="str">
        <f t="array" ref="Q281">IFERROR(INDEX(G:G,SMALL(IF($I$2:$I$450="ERROR", ROW($G$2:$G$450)),ROW()-1)), "")</f>
        <v/>
      </c>
      <c r="R281" s="8" t="str">
        <f t="shared" si="9"/>
        <v/>
      </c>
    </row>
    <row r="282" spans="1:18" x14ac:dyDescent="0.45">
      <c r="A282" s="3" t="s">
        <v>703</v>
      </c>
      <c r="B282" s="1" t="s">
        <v>282</v>
      </c>
      <c r="C282" s="5">
        <v>0.01</v>
      </c>
      <c r="D282" s="4">
        <v>11265</v>
      </c>
      <c r="E282" s="4">
        <v>11290</v>
      </c>
      <c r="F282" s="4">
        <v>11265</v>
      </c>
      <c r="G282" s="5">
        <v>2.2192632046160675E-3</v>
      </c>
      <c r="H282" s="6"/>
      <c r="I282" s="2" t="str">
        <f t="shared" si="8"/>
        <v>-</v>
      </c>
      <c r="J282" s="1" t="str">
        <f>IF(I282="ERROR",BeepMe(),"")</f>
        <v/>
      </c>
      <c r="M282" s="2" t="str">
        <f t="array" ref="M282">IFERROR(INDEX(I:I,SMALL(IF($I$2:$I$450="ERROR", ROW($I$2:$I$450)),ROW()-1)), "")</f>
        <v/>
      </c>
      <c r="N282" s="2" t="str">
        <f t="array" ref="N282">IFERROR(INDEX(A:A,SMALL(IF($I$2:$I$450="ERROR", ROW($A$2:$A$450)),ROW()-1)), "")</f>
        <v/>
      </c>
      <c r="O282" s="2" t="str">
        <f t="array" ref="O282">IFERROR(INDEX(B:B,SMALL(IF($I$2:$I$450="ERROR", ROW($B$2:$B$450)),ROW()-1)), "")</f>
        <v/>
      </c>
      <c r="P282" s="5" t="str">
        <f t="array" ref="P282">IFERROR(INDEX(C:C,SMALL(IF($I$2:$I$450="ERROR", ROW($C$2:$C$450)),ROW()-1)), "")</f>
        <v/>
      </c>
      <c r="Q282" s="5" t="str">
        <f t="array" ref="Q282">IFERROR(INDEX(G:G,SMALL(IF($I$2:$I$450="ERROR", ROW($G$2:$G$450)),ROW()-1)), "")</f>
        <v/>
      </c>
      <c r="R282" s="8" t="str">
        <f t="shared" si="9"/>
        <v/>
      </c>
    </row>
    <row r="283" spans="1:18" x14ac:dyDescent="0.45">
      <c r="A283" s="3" t="s">
        <v>704</v>
      </c>
      <c r="B283" s="1" t="s">
        <v>283</v>
      </c>
      <c r="C283" s="5">
        <v>0.02</v>
      </c>
      <c r="D283" s="4">
        <v>9250</v>
      </c>
      <c r="E283" s="4">
        <v>9325</v>
      </c>
      <c r="F283" s="4">
        <v>9255</v>
      </c>
      <c r="G283" s="5">
        <v>7.5675675675675675E-3</v>
      </c>
      <c r="H283" s="6"/>
      <c r="I283" s="2" t="str">
        <f t="shared" si="8"/>
        <v>-</v>
      </c>
      <c r="J283" s="1" t="str">
        <f>IF(I283="ERROR",BeepMe(),"")</f>
        <v/>
      </c>
      <c r="M283" s="2" t="str">
        <f t="array" ref="M283">IFERROR(INDEX(I:I,SMALL(IF($I$2:$I$450="ERROR", ROW($I$2:$I$450)),ROW()-1)), "")</f>
        <v/>
      </c>
      <c r="N283" s="2" t="str">
        <f t="array" ref="N283">IFERROR(INDEX(A:A,SMALL(IF($I$2:$I$450="ERROR", ROW($A$2:$A$450)),ROW()-1)), "")</f>
        <v/>
      </c>
      <c r="O283" s="2" t="str">
        <f t="array" ref="O283">IFERROR(INDEX(B:B,SMALL(IF($I$2:$I$450="ERROR", ROW($B$2:$B$450)),ROW()-1)), "")</f>
        <v/>
      </c>
      <c r="P283" s="5" t="str">
        <f t="array" ref="P283">IFERROR(INDEX(C:C,SMALL(IF($I$2:$I$450="ERROR", ROW($C$2:$C$450)),ROW()-1)), "")</f>
        <v/>
      </c>
      <c r="Q283" s="5" t="str">
        <f t="array" ref="Q283">IFERROR(INDEX(G:G,SMALL(IF($I$2:$I$450="ERROR", ROW($G$2:$G$450)),ROW()-1)), "")</f>
        <v/>
      </c>
      <c r="R283" s="8" t="str">
        <f t="shared" si="9"/>
        <v/>
      </c>
    </row>
    <row r="284" spans="1:18" x14ac:dyDescent="0.45">
      <c r="A284" s="3" t="s">
        <v>705</v>
      </c>
      <c r="B284" s="1" t="s">
        <v>284</v>
      </c>
      <c r="C284" s="5">
        <v>5.0000000000000001E-3</v>
      </c>
      <c r="D284" s="4">
        <v>19180</v>
      </c>
      <c r="E284" s="4">
        <v>19180</v>
      </c>
      <c r="F284" s="4">
        <v>19160</v>
      </c>
      <c r="G284" s="5">
        <v>1.0427528675703858E-3</v>
      </c>
      <c r="H284" s="6"/>
      <c r="I284" s="2" t="str">
        <f t="shared" si="8"/>
        <v>-</v>
      </c>
      <c r="J284" s="1" t="str">
        <f>IF(I284="ERROR",BeepMe(),"")</f>
        <v/>
      </c>
      <c r="M284" s="2" t="str">
        <f t="array" ref="M284">IFERROR(INDEX(I:I,SMALL(IF($I$2:$I$450="ERROR", ROW($I$2:$I$450)),ROW()-1)), "")</f>
        <v/>
      </c>
      <c r="N284" s="2" t="str">
        <f t="array" ref="N284">IFERROR(INDEX(A:A,SMALL(IF($I$2:$I$450="ERROR", ROW($A$2:$A$450)),ROW()-1)), "")</f>
        <v/>
      </c>
      <c r="O284" s="2" t="str">
        <f t="array" ref="O284">IFERROR(INDEX(B:B,SMALL(IF($I$2:$I$450="ERROR", ROW($B$2:$B$450)),ROW()-1)), "")</f>
        <v/>
      </c>
      <c r="P284" s="5" t="str">
        <f t="array" ref="P284">IFERROR(INDEX(C:C,SMALL(IF($I$2:$I$450="ERROR", ROW($C$2:$C$450)),ROW()-1)), "")</f>
        <v/>
      </c>
      <c r="Q284" s="5" t="str">
        <f t="array" ref="Q284">IFERROR(INDEX(G:G,SMALL(IF($I$2:$I$450="ERROR", ROW($G$2:$G$450)),ROW()-1)), "")</f>
        <v/>
      </c>
      <c r="R284" s="8" t="str">
        <f t="shared" si="9"/>
        <v/>
      </c>
    </row>
    <row r="285" spans="1:18" x14ac:dyDescent="0.45">
      <c r="A285" s="3" t="s">
        <v>706</v>
      </c>
      <c r="B285" s="1" t="s">
        <v>285</v>
      </c>
      <c r="C285" s="5">
        <v>5.0000000000000001E-3</v>
      </c>
      <c r="D285" s="4">
        <v>14360</v>
      </c>
      <c r="E285" s="4">
        <v>14365</v>
      </c>
      <c r="F285" s="4">
        <v>14360</v>
      </c>
      <c r="G285" s="5">
        <v>3.4818941504178273E-4</v>
      </c>
      <c r="H285" s="6"/>
      <c r="I285" s="2" t="str">
        <f t="shared" si="8"/>
        <v>-</v>
      </c>
      <c r="J285" s="1" t="str">
        <f>IF(I285="ERROR",BeepMe(),"")</f>
        <v/>
      </c>
      <c r="M285" s="2" t="str">
        <f t="array" ref="M285">IFERROR(INDEX(I:I,SMALL(IF($I$2:$I$450="ERROR", ROW($I$2:$I$450)),ROW()-1)), "")</f>
        <v/>
      </c>
      <c r="N285" s="2" t="str">
        <f t="array" ref="N285">IFERROR(INDEX(A:A,SMALL(IF($I$2:$I$450="ERROR", ROW($A$2:$A$450)),ROW()-1)), "")</f>
        <v/>
      </c>
      <c r="O285" s="2" t="str">
        <f t="array" ref="O285">IFERROR(INDEX(B:B,SMALL(IF($I$2:$I$450="ERROR", ROW($B$2:$B$450)),ROW()-1)), "")</f>
        <v/>
      </c>
      <c r="P285" s="5" t="str">
        <f t="array" ref="P285">IFERROR(INDEX(C:C,SMALL(IF($I$2:$I$450="ERROR", ROW($C$2:$C$450)),ROW()-1)), "")</f>
        <v/>
      </c>
      <c r="Q285" s="5" t="str">
        <f t="array" ref="Q285">IFERROR(INDEX(G:G,SMALL(IF($I$2:$I$450="ERROR", ROW($G$2:$G$450)),ROW()-1)), "")</f>
        <v/>
      </c>
      <c r="R285" s="8" t="str">
        <f t="shared" si="9"/>
        <v/>
      </c>
    </row>
    <row r="286" spans="1:18" x14ac:dyDescent="0.45">
      <c r="A286" s="3" t="s">
        <v>707</v>
      </c>
      <c r="B286" s="1" t="s">
        <v>286</v>
      </c>
      <c r="C286" s="5">
        <v>0.01</v>
      </c>
      <c r="D286" s="4">
        <v>24105</v>
      </c>
      <c r="E286" s="4">
        <v>24105</v>
      </c>
      <c r="F286" s="4">
        <v>24100</v>
      </c>
      <c r="G286" s="5">
        <v>2.0742584526031943E-4</v>
      </c>
      <c r="H286" s="6"/>
      <c r="I286" s="2" t="str">
        <f t="shared" si="8"/>
        <v>-</v>
      </c>
      <c r="J286" s="1" t="str">
        <f>IF(I286="ERROR",BeepMe(),"")</f>
        <v/>
      </c>
      <c r="M286" s="2" t="str">
        <f t="array" ref="M286">IFERROR(INDEX(I:I,SMALL(IF($I$2:$I$450="ERROR", ROW($I$2:$I$450)),ROW()-1)), "")</f>
        <v/>
      </c>
      <c r="N286" s="2" t="str">
        <f t="array" ref="N286">IFERROR(INDEX(A:A,SMALL(IF($I$2:$I$450="ERROR", ROW($A$2:$A$450)),ROW()-1)), "")</f>
        <v/>
      </c>
      <c r="O286" s="2" t="str">
        <f t="array" ref="O286">IFERROR(INDEX(B:B,SMALL(IF($I$2:$I$450="ERROR", ROW($B$2:$B$450)),ROW()-1)), "")</f>
        <v/>
      </c>
      <c r="P286" s="5" t="str">
        <f t="array" ref="P286">IFERROR(INDEX(C:C,SMALL(IF($I$2:$I$450="ERROR", ROW($C$2:$C$450)),ROW()-1)), "")</f>
        <v/>
      </c>
      <c r="Q286" s="5" t="str">
        <f t="array" ref="Q286">IFERROR(INDEX(G:G,SMALL(IF($I$2:$I$450="ERROR", ROW($G$2:$G$450)),ROW()-1)), "")</f>
        <v/>
      </c>
      <c r="R286" s="8" t="str">
        <f t="shared" si="9"/>
        <v/>
      </c>
    </row>
    <row r="287" spans="1:18" x14ac:dyDescent="0.45">
      <c r="A287" s="3" t="s">
        <v>708</v>
      </c>
      <c r="B287" s="1" t="s">
        <v>287</v>
      </c>
      <c r="C287" s="5">
        <v>5.0000000000000001E-3</v>
      </c>
      <c r="D287" s="4">
        <v>25720</v>
      </c>
      <c r="E287" s="4">
        <v>25720</v>
      </c>
      <c r="F287" s="4">
        <v>25645</v>
      </c>
      <c r="G287" s="5">
        <v>2.9160186625194402E-3</v>
      </c>
      <c r="H287" s="6"/>
      <c r="I287" s="2" t="str">
        <f t="shared" si="8"/>
        <v>-</v>
      </c>
      <c r="J287" s="1" t="str">
        <f>IF(I287="ERROR",BeepMe(),"")</f>
        <v/>
      </c>
      <c r="M287" s="2" t="str">
        <f t="array" ref="M287">IFERROR(INDEX(I:I,SMALL(IF($I$2:$I$450="ERROR", ROW($I$2:$I$450)),ROW()-1)), "")</f>
        <v/>
      </c>
      <c r="N287" s="2" t="str">
        <f t="array" ref="N287">IFERROR(INDEX(A:A,SMALL(IF($I$2:$I$450="ERROR", ROW($A$2:$A$450)),ROW()-1)), "")</f>
        <v/>
      </c>
      <c r="O287" s="2" t="str">
        <f t="array" ref="O287">IFERROR(INDEX(B:B,SMALL(IF($I$2:$I$450="ERROR", ROW($B$2:$B$450)),ROW()-1)), "")</f>
        <v/>
      </c>
      <c r="P287" s="5" t="str">
        <f t="array" ref="P287">IFERROR(INDEX(C:C,SMALL(IF($I$2:$I$450="ERROR", ROW($C$2:$C$450)),ROW()-1)), "")</f>
        <v/>
      </c>
      <c r="Q287" s="5" t="str">
        <f t="array" ref="Q287">IFERROR(INDEX(G:G,SMALL(IF($I$2:$I$450="ERROR", ROW($G$2:$G$450)),ROW()-1)), "")</f>
        <v/>
      </c>
      <c r="R287" s="8" t="str">
        <f t="shared" si="9"/>
        <v/>
      </c>
    </row>
    <row r="288" spans="1:18" x14ac:dyDescent="0.45">
      <c r="A288" s="3" t="s">
        <v>709</v>
      </c>
      <c r="B288" s="1" t="s">
        <v>288</v>
      </c>
      <c r="C288" s="5">
        <v>5.0000000000000001E-3</v>
      </c>
      <c r="D288" s="4">
        <v>16015</v>
      </c>
      <c r="E288" s="4">
        <v>16090</v>
      </c>
      <c r="F288" s="4">
        <v>16035</v>
      </c>
      <c r="G288" s="5">
        <v>3.4342803621604744E-3</v>
      </c>
      <c r="H288" s="6"/>
      <c r="I288" s="2" t="str">
        <f t="shared" si="8"/>
        <v>-</v>
      </c>
      <c r="J288" s="1" t="str">
        <f>IF(I288="ERROR",BeepMe(),"")</f>
        <v/>
      </c>
      <c r="M288" s="2" t="str">
        <f t="array" ref="M288">IFERROR(INDEX(I:I,SMALL(IF($I$2:$I$450="ERROR", ROW($I$2:$I$450)),ROW()-1)), "")</f>
        <v/>
      </c>
      <c r="N288" s="2" t="str">
        <f t="array" ref="N288">IFERROR(INDEX(A:A,SMALL(IF($I$2:$I$450="ERROR", ROW($A$2:$A$450)),ROW()-1)), "")</f>
        <v/>
      </c>
      <c r="O288" s="2" t="str">
        <f t="array" ref="O288">IFERROR(INDEX(B:B,SMALL(IF($I$2:$I$450="ERROR", ROW($B$2:$B$450)),ROW()-1)), "")</f>
        <v/>
      </c>
      <c r="P288" s="5" t="str">
        <f t="array" ref="P288">IFERROR(INDEX(C:C,SMALL(IF($I$2:$I$450="ERROR", ROW($C$2:$C$450)),ROW()-1)), "")</f>
        <v/>
      </c>
      <c r="Q288" s="5" t="str">
        <f t="array" ref="Q288">IFERROR(INDEX(G:G,SMALL(IF($I$2:$I$450="ERROR", ROW($G$2:$G$450)),ROW()-1)), "")</f>
        <v/>
      </c>
      <c r="R288" s="8" t="str">
        <f t="shared" si="9"/>
        <v/>
      </c>
    </row>
    <row r="289" spans="1:18" x14ac:dyDescent="0.45">
      <c r="A289" s="3" t="s">
        <v>710</v>
      </c>
      <c r="B289" s="1" t="s">
        <v>289</v>
      </c>
      <c r="C289" s="5">
        <v>5.0000000000000001E-3</v>
      </c>
      <c r="D289" s="4">
        <v>17160</v>
      </c>
      <c r="E289" s="4">
        <v>17160</v>
      </c>
      <c r="F289" s="4">
        <v>17125</v>
      </c>
      <c r="G289" s="5">
        <v>2.0396270396270395E-3</v>
      </c>
      <c r="H289" s="6"/>
      <c r="I289" s="2" t="str">
        <f t="shared" si="8"/>
        <v>-</v>
      </c>
      <c r="J289" s="1" t="str">
        <f>IF(I289="ERROR",BeepMe(),"")</f>
        <v/>
      </c>
      <c r="M289" s="2" t="str">
        <f t="array" ref="M289">IFERROR(INDEX(I:I,SMALL(IF($I$2:$I$450="ERROR", ROW($I$2:$I$450)),ROW()-1)), "")</f>
        <v/>
      </c>
      <c r="N289" s="2" t="str">
        <f t="array" ref="N289">IFERROR(INDEX(A:A,SMALL(IF($I$2:$I$450="ERROR", ROW($A$2:$A$450)),ROW()-1)), "")</f>
        <v/>
      </c>
      <c r="O289" s="2" t="str">
        <f t="array" ref="O289">IFERROR(INDEX(B:B,SMALL(IF($I$2:$I$450="ERROR", ROW($B$2:$B$450)),ROW()-1)), "")</f>
        <v/>
      </c>
      <c r="P289" s="5" t="str">
        <f t="array" ref="P289">IFERROR(INDEX(C:C,SMALL(IF($I$2:$I$450="ERROR", ROW($C$2:$C$450)),ROW()-1)), "")</f>
        <v/>
      </c>
      <c r="Q289" s="5" t="str">
        <f t="array" ref="Q289">IFERROR(INDEX(G:G,SMALL(IF($I$2:$I$450="ERROR", ROW($G$2:$G$450)),ROW()-1)), "")</f>
        <v/>
      </c>
      <c r="R289" s="8" t="str">
        <f t="shared" si="9"/>
        <v/>
      </c>
    </row>
    <row r="290" spans="1:18" x14ac:dyDescent="0.45">
      <c r="A290" s="3" t="s">
        <v>711</v>
      </c>
      <c r="B290" s="1" t="s">
        <v>290</v>
      </c>
      <c r="C290" s="5">
        <v>5.0000000000000001E-3</v>
      </c>
      <c r="D290" s="4">
        <v>14615</v>
      </c>
      <c r="E290" s="4">
        <v>14615</v>
      </c>
      <c r="F290" s="4">
        <v>14605</v>
      </c>
      <c r="G290" s="5">
        <v>6.8422853232979813E-4</v>
      </c>
      <c r="H290" s="6"/>
      <c r="I290" s="2" t="str">
        <f t="shared" si="8"/>
        <v>-</v>
      </c>
      <c r="J290" s="1" t="str">
        <f>IF(I290="ERROR",BeepMe(),"")</f>
        <v/>
      </c>
      <c r="M290" s="2" t="str">
        <f t="array" ref="M290">IFERROR(INDEX(I:I,SMALL(IF($I$2:$I$450="ERROR", ROW($I$2:$I$450)),ROW()-1)), "")</f>
        <v/>
      </c>
      <c r="N290" s="2" t="str">
        <f t="array" ref="N290">IFERROR(INDEX(A:A,SMALL(IF($I$2:$I$450="ERROR", ROW($A$2:$A$450)),ROW()-1)), "")</f>
        <v/>
      </c>
      <c r="O290" s="2" t="str">
        <f t="array" ref="O290">IFERROR(INDEX(B:B,SMALL(IF($I$2:$I$450="ERROR", ROW($B$2:$B$450)),ROW()-1)), "")</f>
        <v/>
      </c>
      <c r="P290" s="5" t="str">
        <f t="array" ref="P290">IFERROR(INDEX(C:C,SMALL(IF($I$2:$I$450="ERROR", ROW($C$2:$C$450)),ROW()-1)), "")</f>
        <v/>
      </c>
      <c r="Q290" s="5" t="str">
        <f t="array" ref="Q290">IFERROR(INDEX(G:G,SMALL(IF($I$2:$I$450="ERROR", ROW($G$2:$G$450)),ROW()-1)), "")</f>
        <v/>
      </c>
      <c r="R290" s="8" t="str">
        <f t="shared" si="9"/>
        <v/>
      </c>
    </row>
    <row r="291" spans="1:18" x14ac:dyDescent="0.45">
      <c r="A291" s="3" t="s">
        <v>712</v>
      </c>
      <c r="B291" s="1" t="s">
        <v>291</v>
      </c>
      <c r="C291" s="5">
        <v>0.01</v>
      </c>
      <c r="D291" s="4">
        <v>14230</v>
      </c>
      <c r="E291" s="4">
        <v>14230</v>
      </c>
      <c r="F291" s="4">
        <v>14225</v>
      </c>
      <c r="G291" s="5">
        <v>3.5137034434293746E-4</v>
      </c>
      <c r="H291" s="6"/>
      <c r="I291" s="2" t="str">
        <f t="shared" si="8"/>
        <v>-</v>
      </c>
      <c r="J291" s="1" t="str">
        <f>IF(I291="ERROR",BeepMe(),"")</f>
        <v/>
      </c>
      <c r="M291" s="2" t="str">
        <f t="array" ref="M291">IFERROR(INDEX(I:I,SMALL(IF($I$2:$I$450="ERROR", ROW($I$2:$I$450)),ROW()-1)), "")</f>
        <v/>
      </c>
      <c r="N291" s="2" t="str">
        <f t="array" ref="N291">IFERROR(INDEX(A:A,SMALL(IF($I$2:$I$450="ERROR", ROW($A$2:$A$450)),ROW()-1)), "")</f>
        <v/>
      </c>
      <c r="O291" s="2" t="str">
        <f t="array" ref="O291">IFERROR(INDEX(B:B,SMALL(IF($I$2:$I$450="ERROR", ROW($B$2:$B$450)),ROW()-1)), "")</f>
        <v/>
      </c>
      <c r="P291" s="5" t="str">
        <f t="array" ref="P291">IFERROR(INDEX(C:C,SMALL(IF($I$2:$I$450="ERROR", ROW($C$2:$C$450)),ROW()-1)), "")</f>
        <v/>
      </c>
      <c r="Q291" s="5" t="str">
        <f t="array" ref="Q291">IFERROR(INDEX(G:G,SMALL(IF($I$2:$I$450="ERROR", ROW($G$2:$G$450)),ROW()-1)), "")</f>
        <v/>
      </c>
      <c r="R291" s="8" t="str">
        <f t="shared" si="9"/>
        <v/>
      </c>
    </row>
    <row r="292" spans="1:18" x14ac:dyDescent="0.45">
      <c r="A292" s="3" t="s">
        <v>713</v>
      </c>
      <c r="B292" s="1" t="s">
        <v>292</v>
      </c>
      <c r="C292" s="5">
        <v>5.0000000000000001E-3</v>
      </c>
      <c r="D292" s="4">
        <v>14515</v>
      </c>
      <c r="E292" s="4">
        <v>14515</v>
      </c>
      <c r="F292" s="4">
        <v>14425</v>
      </c>
      <c r="G292" s="5">
        <v>6.2004822597313122E-3</v>
      </c>
      <c r="H292" s="6"/>
      <c r="I292" s="2" t="str">
        <f t="shared" si="8"/>
        <v>ERROR</v>
      </c>
      <c r="J292" s="1" t="str">
        <f>IF(I292="ERROR",BeepMe(),"")</f>
        <v/>
      </c>
      <c r="M292" s="2" t="str">
        <f t="array" ref="M292">IFERROR(INDEX(I:I,SMALL(IF($I$2:$I$450="ERROR", ROW($I$2:$I$450)),ROW()-1)), "")</f>
        <v/>
      </c>
      <c r="N292" s="2" t="str">
        <f t="array" ref="N292">IFERROR(INDEX(A:A,SMALL(IF($I$2:$I$450="ERROR", ROW($A$2:$A$450)),ROW()-1)), "")</f>
        <v/>
      </c>
      <c r="O292" s="2" t="str">
        <f t="array" ref="O292">IFERROR(INDEX(B:B,SMALL(IF($I$2:$I$450="ERROR", ROW($B$2:$B$450)),ROW()-1)), "")</f>
        <v/>
      </c>
      <c r="P292" s="5" t="str">
        <f t="array" ref="P292">IFERROR(INDEX(C:C,SMALL(IF($I$2:$I$450="ERROR", ROW($C$2:$C$450)),ROW()-1)), "")</f>
        <v/>
      </c>
      <c r="Q292" s="5" t="str">
        <f t="array" ref="Q292">IFERROR(INDEX(G:G,SMALL(IF($I$2:$I$450="ERROR", ROW($G$2:$G$450)),ROW()-1)), "")</f>
        <v/>
      </c>
      <c r="R292" s="8" t="str">
        <f t="shared" si="9"/>
        <v/>
      </c>
    </row>
    <row r="293" spans="1:18" x14ac:dyDescent="0.45">
      <c r="A293" s="3" t="s">
        <v>714</v>
      </c>
      <c r="B293" s="1" t="s">
        <v>293</v>
      </c>
      <c r="C293" s="5">
        <v>0.01</v>
      </c>
      <c r="D293" s="4">
        <v>9990</v>
      </c>
      <c r="E293" s="4">
        <v>10080</v>
      </c>
      <c r="F293" s="4">
        <v>10015</v>
      </c>
      <c r="G293" s="5">
        <v>6.5065065065065065E-3</v>
      </c>
      <c r="H293" s="6"/>
      <c r="I293" s="2" t="str">
        <f t="shared" si="8"/>
        <v>-</v>
      </c>
      <c r="J293" s="1" t="str">
        <f>IF(I293="ERROR",BeepMe(),"")</f>
        <v/>
      </c>
      <c r="M293" s="2" t="str">
        <f t="array" ref="M293">IFERROR(INDEX(I:I,SMALL(IF($I$2:$I$450="ERROR", ROW($I$2:$I$450)),ROW()-1)), "")</f>
        <v/>
      </c>
      <c r="N293" s="2" t="str">
        <f t="array" ref="N293">IFERROR(INDEX(A:A,SMALL(IF($I$2:$I$450="ERROR", ROW($A$2:$A$450)),ROW()-1)), "")</f>
        <v/>
      </c>
      <c r="O293" s="2" t="str">
        <f t="array" ref="O293">IFERROR(INDEX(B:B,SMALL(IF($I$2:$I$450="ERROR", ROW($B$2:$B$450)),ROW()-1)), "")</f>
        <v/>
      </c>
      <c r="P293" s="5" t="str">
        <f t="array" ref="P293">IFERROR(INDEX(C:C,SMALL(IF($I$2:$I$450="ERROR", ROW($C$2:$C$450)),ROW()-1)), "")</f>
        <v/>
      </c>
      <c r="Q293" s="5" t="str">
        <f t="array" ref="Q293">IFERROR(INDEX(G:G,SMALL(IF($I$2:$I$450="ERROR", ROW($G$2:$G$450)),ROW()-1)), "")</f>
        <v/>
      </c>
      <c r="R293" s="8" t="str">
        <f t="shared" si="9"/>
        <v/>
      </c>
    </row>
    <row r="294" spans="1:18" x14ac:dyDescent="0.45">
      <c r="A294" s="3" t="s">
        <v>715</v>
      </c>
      <c r="B294" s="1" t="s">
        <v>294</v>
      </c>
      <c r="C294" s="5">
        <v>5.0000000000000001E-3</v>
      </c>
      <c r="D294" s="4">
        <v>15790</v>
      </c>
      <c r="E294" s="4">
        <v>15800</v>
      </c>
      <c r="F294" s="4">
        <v>15735</v>
      </c>
      <c r="G294" s="5">
        <v>4.1165294490183657E-3</v>
      </c>
      <c r="H294" s="6"/>
      <c r="I294" s="2" t="str">
        <f t="shared" si="8"/>
        <v>-</v>
      </c>
      <c r="J294" s="1" t="str">
        <f>IF(I294="ERROR",BeepMe(),"")</f>
        <v/>
      </c>
      <c r="M294" s="2" t="str">
        <f t="array" ref="M294">IFERROR(INDEX(I:I,SMALL(IF($I$2:$I$450="ERROR", ROW($I$2:$I$450)),ROW()-1)), "")</f>
        <v/>
      </c>
      <c r="N294" s="2" t="str">
        <f t="array" ref="N294">IFERROR(INDEX(A:A,SMALL(IF($I$2:$I$450="ERROR", ROW($A$2:$A$450)),ROW()-1)), "")</f>
        <v/>
      </c>
      <c r="O294" s="2" t="str">
        <f t="array" ref="O294">IFERROR(INDEX(B:B,SMALL(IF($I$2:$I$450="ERROR", ROW($B$2:$B$450)),ROW()-1)), "")</f>
        <v/>
      </c>
      <c r="P294" s="5" t="str">
        <f t="array" ref="P294">IFERROR(INDEX(C:C,SMALL(IF($I$2:$I$450="ERROR", ROW($C$2:$C$450)),ROW()-1)), "")</f>
        <v/>
      </c>
      <c r="Q294" s="5" t="str">
        <f t="array" ref="Q294">IFERROR(INDEX(G:G,SMALL(IF($I$2:$I$450="ERROR", ROW($G$2:$G$450)),ROW()-1)), "")</f>
        <v/>
      </c>
      <c r="R294" s="8" t="str">
        <f t="shared" si="9"/>
        <v/>
      </c>
    </row>
    <row r="295" spans="1:18" x14ac:dyDescent="0.45">
      <c r="A295" s="3" t="s">
        <v>716</v>
      </c>
      <c r="B295" s="1" t="s">
        <v>295</v>
      </c>
      <c r="C295" s="5">
        <v>5.0000000000000001E-3</v>
      </c>
      <c r="D295" s="4">
        <v>15380</v>
      </c>
      <c r="E295" s="4">
        <v>15390</v>
      </c>
      <c r="F295" s="4">
        <v>15340</v>
      </c>
      <c r="G295" s="5">
        <v>3.2509752925877762E-3</v>
      </c>
      <c r="H295" s="6"/>
      <c r="I295" s="2" t="str">
        <f t="shared" si="8"/>
        <v>-</v>
      </c>
      <c r="J295" s="1" t="str">
        <f>IF(I295="ERROR",BeepMe(),"")</f>
        <v/>
      </c>
      <c r="M295" s="2" t="str">
        <f t="array" ref="M295">IFERROR(INDEX(I:I,SMALL(IF($I$2:$I$450="ERROR", ROW($I$2:$I$450)),ROW()-1)), "")</f>
        <v/>
      </c>
      <c r="N295" s="2" t="str">
        <f t="array" ref="N295">IFERROR(INDEX(A:A,SMALL(IF($I$2:$I$450="ERROR", ROW($A$2:$A$450)),ROW()-1)), "")</f>
        <v/>
      </c>
      <c r="O295" s="2" t="str">
        <f t="array" ref="O295">IFERROR(INDEX(B:B,SMALL(IF($I$2:$I$450="ERROR", ROW($B$2:$B$450)),ROW()-1)), "")</f>
        <v/>
      </c>
      <c r="P295" s="5" t="str">
        <f t="array" ref="P295">IFERROR(INDEX(C:C,SMALL(IF($I$2:$I$450="ERROR", ROW($C$2:$C$450)),ROW()-1)), "")</f>
        <v/>
      </c>
      <c r="Q295" s="5" t="str">
        <f t="array" ref="Q295">IFERROR(INDEX(G:G,SMALL(IF($I$2:$I$450="ERROR", ROW($G$2:$G$450)),ROW()-1)), "")</f>
        <v/>
      </c>
      <c r="R295" s="8" t="str">
        <f t="shared" si="9"/>
        <v/>
      </c>
    </row>
    <row r="296" spans="1:18" x14ac:dyDescent="0.45">
      <c r="A296" s="3" t="s">
        <v>717</v>
      </c>
      <c r="B296" s="1" t="s">
        <v>296</v>
      </c>
      <c r="C296" s="5">
        <v>5.0000000000000001E-3</v>
      </c>
      <c r="D296" s="4">
        <v>13275</v>
      </c>
      <c r="E296" s="4">
        <v>13290</v>
      </c>
      <c r="F296" s="4">
        <v>13235</v>
      </c>
      <c r="G296" s="5">
        <v>4.1431261770244823E-3</v>
      </c>
      <c r="H296" s="6"/>
      <c r="I296" s="2" t="str">
        <f t="shared" si="8"/>
        <v>-</v>
      </c>
      <c r="J296" s="1" t="str">
        <f>IF(I296="ERROR",BeepMe(),"")</f>
        <v/>
      </c>
      <c r="M296" s="2" t="str">
        <f t="array" ref="M296">IFERROR(INDEX(I:I,SMALL(IF($I$2:$I$450="ERROR", ROW($I$2:$I$450)),ROW()-1)), "")</f>
        <v/>
      </c>
      <c r="N296" s="2" t="str">
        <f t="array" ref="N296">IFERROR(INDEX(A:A,SMALL(IF($I$2:$I$450="ERROR", ROW($A$2:$A$450)),ROW()-1)), "")</f>
        <v/>
      </c>
      <c r="O296" s="2" t="str">
        <f t="array" ref="O296">IFERROR(INDEX(B:B,SMALL(IF($I$2:$I$450="ERROR", ROW($B$2:$B$450)),ROW()-1)), "")</f>
        <v/>
      </c>
      <c r="P296" s="5" t="str">
        <f t="array" ref="P296">IFERROR(INDEX(C:C,SMALL(IF($I$2:$I$450="ERROR", ROW($C$2:$C$450)),ROW()-1)), "")</f>
        <v/>
      </c>
      <c r="Q296" s="5" t="str">
        <f t="array" ref="Q296">IFERROR(INDEX(G:G,SMALL(IF($I$2:$I$450="ERROR", ROW($G$2:$G$450)),ROW()-1)), "")</f>
        <v/>
      </c>
      <c r="R296" s="8" t="str">
        <f t="shared" si="9"/>
        <v/>
      </c>
    </row>
    <row r="297" spans="1:18" x14ac:dyDescent="0.45">
      <c r="A297" s="3" t="s">
        <v>718</v>
      </c>
      <c r="B297" s="1" t="s">
        <v>297</v>
      </c>
      <c r="C297" s="5">
        <v>5.0000000000000001E-3</v>
      </c>
      <c r="D297" s="4">
        <v>16175</v>
      </c>
      <c r="E297" s="4">
        <v>16175</v>
      </c>
      <c r="F297" s="4">
        <v>16130</v>
      </c>
      <c r="G297" s="5">
        <v>2.7820710973724882E-3</v>
      </c>
      <c r="H297" s="6"/>
      <c r="I297" s="2" t="str">
        <f t="shared" si="8"/>
        <v>-</v>
      </c>
      <c r="J297" s="1" t="str">
        <f>IF(I297="ERROR",BeepMe(),"")</f>
        <v/>
      </c>
      <c r="M297" s="2" t="str">
        <f t="array" ref="M297">IFERROR(INDEX(I:I,SMALL(IF($I$2:$I$450="ERROR", ROW($I$2:$I$450)),ROW()-1)), "")</f>
        <v/>
      </c>
      <c r="N297" s="2" t="str">
        <f t="array" ref="N297">IFERROR(INDEX(A:A,SMALL(IF($I$2:$I$450="ERROR", ROW($A$2:$A$450)),ROW()-1)), "")</f>
        <v/>
      </c>
      <c r="O297" s="2" t="str">
        <f t="array" ref="O297">IFERROR(INDEX(B:B,SMALL(IF($I$2:$I$450="ERROR", ROW($B$2:$B$450)),ROW()-1)), "")</f>
        <v/>
      </c>
      <c r="P297" s="5" t="str">
        <f t="array" ref="P297">IFERROR(INDEX(C:C,SMALL(IF($I$2:$I$450="ERROR", ROW($C$2:$C$450)),ROW()-1)), "")</f>
        <v/>
      </c>
      <c r="Q297" s="5" t="str">
        <f t="array" ref="Q297">IFERROR(INDEX(G:G,SMALL(IF($I$2:$I$450="ERROR", ROW($G$2:$G$450)),ROW()-1)), "")</f>
        <v/>
      </c>
      <c r="R297" s="8" t="str">
        <f t="shared" si="9"/>
        <v/>
      </c>
    </row>
    <row r="298" spans="1:18" x14ac:dyDescent="0.45">
      <c r="A298" s="3" t="s">
        <v>719</v>
      </c>
      <c r="B298" s="1" t="s">
        <v>298</v>
      </c>
      <c r="C298" s="5">
        <v>5.0000000000000001E-3</v>
      </c>
      <c r="D298" s="4">
        <v>11775</v>
      </c>
      <c r="E298" s="4">
        <v>11775</v>
      </c>
      <c r="F298" s="4">
        <v>11745</v>
      </c>
      <c r="G298" s="5">
        <v>2.5477707006369425E-3</v>
      </c>
      <c r="H298" s="6"/>
      <c r="I298" s="2" t="str">
        <f t="shared" si="8"/>
        <v>-</v>
      </c>
      <c r="J298" s="1" t="str">
        <f>IF(I298="ERROR",BeepMe(),"")</f>
        <v/>
      </c>
      <c r="M298" s="2" t="str">
        <f t="array" ref="M298">IFERROR(INDEX(I:I,SMALL(IF($I$2:$I$450="ERROR", ROW($I$2:$I$450)),ROW()-1)), "")</f>
        <v/>
      </c>
      <c r="N298" s="2" t="str">
        <f t="array" ref="N298">IFERROR(INDEX(A:A,SMALL(IF($I$2:$I$450="ERROR", ROW($A$2:$A$450)),ROW()-1)), "")</f>
        <v/>
      </c>
      <c r="O298" s="2" t="str">
        <f t="array" ref="O298">IFERROR(INDEX(B:B,SMALL(IF($I$2:$I$450="ERROR", ROW($B$2:$B$450)),ROW()-1)), "")</f>
        <v/>
      </c>
      <c r="P298" s="5" t="str">
        <f t="array" ref="P298">IFERROR(INDEX(C:C,SMALL(IF($I$2:$I$450="ERROR", ROW($C$2:$C$450)),ROW()-1)), "")</f>
        <v/>
      </c>
      <c r="Q298" s="5" t="str">
        <f t="array" ref="Q298">IFERROR(INDEX(G:G,SMALL(IF($I$2:$I$450="ERROR", ROW($G$2:$G$450)),ROW()-1)), "")</f>
        <v/>
      </c>
      <c r="R298" s="8" t="str">
        <f t="shared" si="9"/>
        <v/>
      </c>
    </row>
    <row r="299" spans="1:18" x14ac:dyDescent="0.45">
      <c r="A299" s="3" t="s">
        <v>720</v>
      </c>
      <c r="B299" s="1" t="s">
        <v>299</v>
      </c>
      <c r="C299" s="5">
        <v>5.0000000000000001E-3</v>
      </c>
      <c r="D299" s="4">
        <v>15290</v>
      </c>
      <c r="E299" s="4">
        <v>15290</v>
      </c>
      <c r="F299" s="4">
        <v>15200</v>
      </c>
      <c r="G299" s="5">
        <v>5.8862001308044474E-3</v>
      </c>
      <c r="H299" s="6"/>
      <c r="I299" s="2" t="str">
        <f t="shared" si="8"/>
        <v>ERROR</v>
      </c>
      <c r="J299" s="1" t="str">
        <f>IF(I299="ERROR",BeepMe(),"")</f>
        <v/>
      </c>
      <c r="M299" s="2" t="str">
        <f t="array" ref="M299">IFERROR(INDEX(I:I,SMALL(IF($I$2:$I$450="ERROR", ROW($I$2:$I$450)),ROW()-1)), "")</f>
        <v/>
      </c>
      <c r="N299" s="2" t="str">
        <f t="array" ref="N299">IFERROR(INDEX(A:A,SMALL(IF($I$2:$I$450="ERROR", ROW($A$2:$A$450)),ROW()-1)), "")</f>
        <v/>
      </c>
      <c r="O299" s="2" t="str">
        <f t="array" ref="O299">IFERROR(INDEX(B:B,SMALL(IF($I$2:$I$450="ERROR", ROW($B$2:$B$450)),ROW()-1)), "")</f>
        <v/>
      </c>
      <c r="P299" s="5" t="str">
        <f t="array" ref="P299">IFERROR(INDEX(C:C,SMALL(IF($I$2:$I$450="ERROR", ROW($C$2:$C$450)),ROW()-1)), "")</f>
        <v/>
      </c>
      <c r="Q299" s="5" t="str">
        <f t="array" ref="Q299">IFERROR(INDEX(G:G,SMALL(IF($I$2:$I$450="ERROR", ROW($G$2:$G$450)),ROW()-1)), "")</f>
        <v/>
      </c>
      <c r="R299" s="8" t="str">
        <f t="shared" si="9"/>
        <v/>
      </c>
    </row>
    <row r="300" spans="1:18" x14ac:dyDescent="0.45">
      <c r="A300" s="3" t="s">
        <v>721</v>
      </c>
      <c r="B300" s="1" t="s">
        <v>300</v>
      </c>
      <c r="C300" s="5">
        <v>5.0000000000000001E-3</v>
      </c>
      <c r="D300" s="4">
        <v>12960</v>
      </c>
      <c r="E300" s="4">
        <v>12960</v>
      </c>
      <c r="F300" s="4">
        <v>12925</v>
      </c>
      <c r="G300" s="5">
        <v>2.7006172839506171E-3</v>
      </c>
      <c r="H300" s="6"/>
      <c r="I300" s="2" t="str">
        <f t="shared" si="8"/>
        <v>-</v>
      </c>
      <c r="J300" s="1" t="str">
        <f>IF(I300="ERROR",BeepMe(),"")</f>
        <v/>
      </c>
      <c r="M300" s="2" t="str">
        <f t="array" ref="M300">IFERROR(INDEX(I:I,SMALL(IF($I$2:$I$450="ERROR", ROW($I$2:$I$450)),ROW()-1)), "")</f>
        <v/>
      </c>
      <c r="N300" s="2" t="str">
        <f t="array" ref="N300">IFERROR(INDEX(A:A,SMALL(IF($I$2:$I$450="ERROR", ROW($A$2:$A$450)),ROW()-1)), "")</f>
        <v/>
      </c>
      <c r="O300" s="2" t="str">
        <f t="array" ref="O300">IFERROR(INDEX(B:B,SMALL(IF($I$2:$I$450="ERROR", ROW($B$2:$B$450)),ROW()-1)), "")</f>
        <v/>
      </c>
      <c r="P300" s="5" t="str">
        <f t="array" ref="P300">IFERROR(INDEX(C:C,SMALL(IF($I$2:$I$450="ERROR", ROW($C$2:$C$450)),ROW()-1)), "")</f>
        <v/>
      </c>
      <c r="Q300" s="5" t="str">
        <f t="array" ref="Q300">IFERROR(INDEX(G:G,SMALL(IF($I$2:$I$450="ERROR", ROW($G$2:$G$450)),ROW()-1)), "")</f>
        <v/>
      </c>
      <c r="R300" s="8" t="str">
        <f t="shared" si="9"/>
        <v/>
      </c>
    </row>
    <row r="301" spans="1:18" x14ac:dyDescent="0.45">
      <c r="A301" s="3" t="s">
        <v>722</v>
      </c>
      <c r="B301" s="1" t="s">
        <v>301</v>
      </c>
      <c r="C301" s="5">
        <v>5.0000000000000001E-3</v>
      </c>
      <c r="D301" s="4">
        <v>9355</v>
      </c>
      <c r="E301" s="4">
        <v>9365</v>
      </c>
      <c r="F301" s="4">
        <v>9340</v>
      </c>
      <c r="G301" s="5">
        <v>2.6723677177979692E-3</v>
      </c>
      <c r="H301" s="6"/>
      <c r="I301" s="2" t="str">
        <f t="shared" si="8"/>
        <v>-</v>
      </c>
      <c r="J301" s="1" t="str">
        <f>IF(I301="ERROR",BeepMe(),"")</f>
        <v/>
      </c>
      <c r="M301" s="2" t="str">
        <f t="array" ref="M301">IFERROR(INDEX(I:I,SMALL(IF($I$2:$I$450="ERROR", ROW($I$2:$I$450)),ROW()-1)), "")</f>
        <v/>
      </c>
      <c r="N301" s="2" t="str">
        <f t="array" ref="N301">IFERROR(INDEX(A:A,SMALL(IF($I$2:$I$450="ERROR", ROW($A$2:$A$450)),ROW()-1)), "")</f>
        <v/>
      </c>
      <c r="O301" s="2" t="str">
        <f t="array" ref="O301">IFERROR(INDEX(B:B,SMALL(IF($I$2:$I$450="ERROR", ROW($B$2:$B$450)),ROW()-1)), "")</f>
        <v/>
      </c>
      <c r="P301" s="5" t="str">
        <f t="array" ref="P301">IFERROR(INDEX(C:C,SMALL(IF($I$2:$I$450="ERROR", ROW($C$2:$C$450)),ROW()-1)), "")</f>
        <v/>
      </c>
      <c r="Q301" s="5" t="str">
        <f t="array" ref="Q301">IFERROR(INDEX(G:G,SMALL(IF($I$2:$I$450="ERROR", ROW($G$2:$G$450)),ROW()-1)), "")</f>
        <v/>
      </c>
      <c r="R301" s="8" t="str">
        <f t="shared" si="9"/>
        <v/>
      </c>
    </row>
    <row r="302" spans="1:18" x14ac:dyDescent="0.45">
      <c r="A302" s="3" t="s">
        <v>723</v>
      </c>
      <c r="B302" s="1" t="s">
        <v>302</v>
      </c>
      <c r="C302" s="5">
        <v>5.0000000000000001E-3</v>
      </c>
      <c r="D302" s="4">
        <v>19075</v>
      </c>
      <c r="E302" s="4">
        <v>19075</v>
      </c>
      <c r="F302" s="4">
        <v>19070</v>
      </c>
      <c r="G302" s="5">
        <v>2.6212319790301441E-4</v>
      </c>
      <c r="H302" s="6"/>
      <c r="I302" s="2" t="str">
        <f t="shared" si="8"/>
        <v>-</v>
      </c>
      <c r="J302" s="1" t="str">
        <f>IF(I302="ERROR",BeepMe(),"")</f>
        <v/>
      </c>
      <c r="M302" s="2" t="str">
        <f t="array" ref="M302">IFERROR(INDEX(I:I,SMALL(IF($I$2:$I$450="ERROR", ROW($I$2:$I$450)),ROW()-1)), "")</f>
        <v/>
      </c>
      <c r="N302" s="2" t="str">
        <f t="array" ref="N302">IFERROR(INDEX(A:A,SMALL(IF($I$2:$I$450="ERROR", ROW($A$2:$A$450)),ROW()-1)), "")</f>
        <v/>
      </c>
      <c r="O302" s="2" t="str">
        <f t="array" ref="O302">IFERROR(INDEX(B:B,SMALL(IF($I$2:$I$450="ERROR", ROW($B$2:$B$450)),ROW()-1)), "")</f>
        <v/>
      </c>
      <c r="P302" s="5" t="str">
        <f t="array" ref="P302">IFERROR(INDEX(C:C,SMALL(IF($I$2:$I$450="ERROR", ROW($C$2:$C$450)),ROW()-1)), "")</f>
        <v/>
      </c>
      <c r="Q302" s="5" t="str">
        <f t="array" ref="Q302">IFERROR(INDEX(G:G,SMALL(IF($I$2:$I$450="ERROR", ROW($G$2:$G$450)),ROW()-1)), "")</f>
        <v/>
      </c>
      <c r="R302" s="8" t="str">
        <f t="shared" si="9"/>
        <v/>
      </c>
    </row>
    <row r="303" spans="1:18" x14ac:dyDescent="0.45">
      <c r="A303" s="3" t="s">
        <v>724</v>
      </c>
      <c r="B303" s="1" t="s">
        <v>303</v>
      </c>
      <c r="C303" s="5">
        <v>5.0000000000000001E-3</v>
      </c>
      <c r="D303" s="4">
        <v>13900</v>
      </c>
      <c r="E303" s="4">
        <v>13900</v>
      </c>
      <c r="F303" s="4">
        <v>13855</v>
      </c>
      <c r="G303" s="5">
        <v>3.237410071942446E-3</v>
      </c>
      <c r="H303" s="6"/>
      <c r="I303" s="2" t="str">
        <f t="shared" si="8"/>
        <v>-</v>
      </c>
      <c r="J303" s="1" t="str">
        <f>IF(I303="ERROR",BeepMe(),"")</f>
        <v/>
      </c>
      <c r="M303" s="2" t="str">
        <f t="array" ref="M303">IFERROR(INDEX(I:I,SMALL(IF($I$2:$I$450="ERROR", ROW($I$2:$I$450)),ROW()-1)), "")</f>
        <v/>
      </c>
      <c r="N303" s="2" t="str">
        <f t="array" ref="N303">IFERROR(INDEX(A:A,SMALL(IF($I$2:$I$450="ERROR", ROW($A$2:$A$450)),ROW()-1)), "")</f>
        <v/>
      </c>
      <c r="O303" s="2" t="str">
        <f t="array" ref="O303">IFERROR(INDEX(B:B,SMALL(IF($I$2:$I$450="ERROR", ROW($B$2:$B$450)),ROW()-1)), "")</f>
        <v/>
      </c>
      <c r="P303" s="5" t="str">
        <f t="array" ref="P303">IFERROR(INDEX(C:C,SMALL(IF($I$2:$I$450="ERROR", ROW($C$2:$C$450)),ROW()-1)), "")</f>
        <v/>
      </c>
      <c r="Q303" s="5" t="str">
        <f t="array" ref="Q303">IFERROR(INDEX(G:G,SMALL(IF($I$2:$I$450="ERROR", ROW($G$2:$G$450)),ROW()-1)), "")</f>
        <v/>
      </c>
      <c r="R303" s="8" t="str">
        <f t="shared" si="9"/>
        <v/>
      </c>
    </row>
    <row r="304" spans="1:18" x14ac:dyDescent="0.45">
      <c r="A304" s="3" t="s">
        <v>725</v>
      </c>
      <c r="B304" s="1" t="s">
        <v>304</v>
      </c>
      <c r="C304" s="5">
        <v>5.0000000000000001E-3</v>
      </c>
      <c r="D304" s="4">
        <v>6530</v>
      </c>
      <c r="E304" s="4">
        <v>6530</v>
      </c>
      <c r="F304" s="4">
        <v>6525</v>
      </c>
      <c r="G304" s="5">
        <v>7.6569678407350692E-4</v>
      </c>
      <c r="H304" s="6"/>
      <c r="I304" s="2" t="str">
        <f t="shared" si="8"/>
        <v>-</v>
      </c>
      <c r="J304" s="1" t="str">
        <f>IF(I304="ERROR",BeepMe(),"")</f>
        <v/>
      </c>
      <c r="M304" s="2" t="str">
        <f t="array" ref="M304">IFERROR(INDEX(I:I,SMALL(IF($I$2:$I$450="ERROR", ROW($I$2:$I$450)),ROW()-1)), "")</f>
        <v/>
      </c>
      <c r="N304" s="2" t="str">
        <f t="array" ref="N304">IFERROR(INDEX(A:A,SMALL(IF($I$2:$I$450="ERROR", ROW($A$2:$A$450)),ROW()-1)), "")</f>
        <v/>
      </c>
      <c r="O304" s="2" t="str">
        <f t="array" ref="O304">IFERROR(INDEX(B:B,SMALL(IF($I$2:$I$450="ERROR", ROW($B$2:$B$450)),ROW()-1)), "")</f>
        <v/>
      </c>
      <c r="P304" s="5" t="str">
        <f t="array" ref="P304">IFERROR(INDEX(C:C,SMALL(IF($I$2:$I$450="ERROR", ROW($C$2:$C$450)),ROW()-1)), "")</f>
        <v/>
      </c>
      <c r="Q304" s="5" t="str">
        <f t="array" ref="Q304">IFERROR(INDEX(G:G,SMALL(IF($I$2:$I$450="ERROR", ROW($G$2:$G$450)),ROW()-1)), "")</f>
        <v/>
      </c>
      <c r="R304" s="8" t="str">
        <f t="shared" si="9"/>
        <v/>
      </c>
    </row>
    <row r="305" spans="1:18" x14ac:dyDescent="0.45">
      <c r="A305" s="3" t="s">
        <v>726</v>
      </c>
      <c r="B305" s="1" t="s">
        <v>305</v>
      </c>
      <c r="C305" s="5">
        <v>5.0000000000000001E-3</v>
      </c>
      <c r="D305" s="4">
        <v>21985</v>
      </c>
      <c r="E305" s="4">
        <v>21985</v>
      </c>
      <c r="F305" s="4">
        <v>21955</v>
      </c>
      <c r="G305" s="5">
        <v>1.3645667500568569E-3</v>
      </c>
      <c r="H305" s="6"/>
      <c r="I305" s="2" t="str">
        <f t="shared" si="8"/>
        <v>-</v>
      </c>
      <c r="J305" s="1" t="str">
        <f>IF(I305="ERROR",BeepMe(),"")</f>
        <v/>
      </c>
      <c r="M305" s="2" t="str">
        <f t="array" ref="M305">IFERROR(INDEX(I:I,SMALL(IF($I$2:$I$450="ERROR", ROW($I$2:$I$450)),ROW()-1)), "")</f>
        <v/>
      </c>
      <c r="N305" s="2" t="str">
        <f t="array" ref="N305">IFERROR(INDEX(A:A,SMALL(IF($I$2:$I$450="ERROR", ROW($A$2:$A$450)),ROW()-1)), "")</f>
        <v/>
      </c>
      <c r="O305" s="2" t="str">
        <f t="array" ref="O305">IFERROR(INDEX(B:B,SMALL(IF($I$2:$I$450="ERROR", ROW($B$2:$B$450)),ROW()-1)), "")</f>
        <v/>
      </c>
      <c r="P305" s="5" t="str">
        <f t="array" ref="P305">IFERROR(INDEX(C:C,SMALL(IF($I$2:$I$450="ERROR", ROW($C$2:$C$450)),ROW()-1)), "")</f>
        <v/>
      </c>
      <c r="Q305" s="5" t="str">
        <f t="array" ref="Q305">IFERROR(INDEX(G:G,SMALL(IF($I$2:$I$450="ERROR", ROW($G$2:$G$450)),ROW()-1)), "")</f>
        <v/>
      </c>
      <c r="R305" s="8" t="str">
        <f t="shared" si="9"/>
        <v/>
      </c>
    </row>
    <row r="306" spans="1:18" x14ac:dyDescent="0.45">
      <c r="A306" s="3" t="s">
        <v>727</v>
      </c>
      <c r="B306" s="1" t="s">
        <v>306</v>
      </c>
      <c r="C306" s="5">
        <v>5.0000000000000001E-3</v>
      </c>
      <c r="D306" s="4">
        <v>42840</v>
      </c>
      <c r="E306" s="4">
        <v>42840</v>
      </c>
      <c r="F306" s="4">
        <v>42805</v>
      </c>
      <c r="G306" s="5">
        <v>8.1699346405228761E-4</v>
      </c>
      <c r="H306" s="6"/>
      <c r="I306" s="2" t="str">
        <f t="shared" si="8"/>
        <v>-</v>
      </c>
      <c r="J306" s="1" t="str">
        <f>IF(I306="ERROR",BeepMe(),"")</f>
        <v/>
      </c>
      <c r="M306" s="2" t="str">
        <f t="array" ref="M306">IFERROR(INDEX(I:I,SMALL(IF($I$2:$I$450="ERROR", ROW($I$2:$I$450)),ROW()-1)), "")</f>
        <v/>
      </c>
      <c r="N306" s="2" t="str">
        <f t="array" ref="N306">IFERROR(INDEX(A:A,SMALL(IF($I$2:$I$450="ERROR", ROW($A$2:$A$450)),ROW()-1)), "")</f>
        <v/>
      </c>
      <c r="O306" s="2" t="str">
        <f t="array" ref="O306">IFERROR(INDEX(B:B,SMALL(IF($I$2:$I$450="ERROR", ROW($B$2:$B$450)),ROW()-1)), "")</f>
        <v/>
      </c>
      <c r="P306" s="5" t="str">
        <f t="array" ref="P306">IFERROR(INDEX(C:C,SMALL(IF($I$2:$I$450="ERROR", ROW($C$2:$C$450)),ROW()-1)), "")</f>
        <v/>
      </c>
      <c r="Q306" s="5" t="str">
        <f t="array" ref="Q306">IFERROR(INDEX(G:G,SMALL(IF($I$2:$I$450="ERROR", ROW($G$2:$G$450)),ROW()-1)), "")</f>
        <v/>
      </c>
      <c r="R306" s="8" t="str">
        <f t="shared" si="9"/>
        <v/>
      </c>
    </row>
    <row r="307" spans="1:18" x14ac:dyDescent="0.45">
      <c r="A307" s="3" t="s">
        <v>728</v>
      </c>
      <c r="B307" s="1" t="s">
        <v>307</v>
      </c>
      <c r="C307" s="5">
        <v>5.0000000000000001E-3</v>
      </c>
      <c r="D307" s="4">
        <v>14355</v>
      </c>
      <c r="E307" s="4">
        <v>14355</v>
      </c>
      <c r="F307" s="4">
        <v>14315</v>
      </c>
      <c r="G307" s="5">
        <v>2.7864855451062349E-3</v>
      </c>
      <c r="H307" s="6"/>
      <c r="I307" s="2" t="str">
        <f t="shared" si="8"/>
        <v>-</v>
      </c>
      <c r="J307" s="1" t="str">
        <f>IF(I307="ERROR",BeepMe(),"")</f>
        <v/>
      </c>
      <c r="M307" s="2" t="str">
        <f t="array" ref="M307">IFERROR(INDEX(I:I,SMALL(IF($I$2:$I$450="ERROR", ROW($I$2:$I$450)),ROW()-1)), "")</f>
        <v/>
      </c>
      <c r="N307" s="2" t="str">
        <f t="array" ref="N307">IFERROR(INDEX(A:A,SMALL(IF($I$2:$I$450="ERROR", ROW($A$2:$A$450)),ROW()-1)), "")</f>
        <v/>
      </c>
      <c r="O307" s="2" t="str">
        <f t="array" ref="O307">IFERROR(INDEX(B:B,SMALL(IF($I$2:$I$450="ERROR", ROW($B$2:$B$450)),ROW()-1)), "")</f>
        <v/>
      </c>
      <c r="P307" s="5" t="str">
        <f t="array" ref="P307">IFERROR(INDEX(C:C,SMALL(IF($I$2:$I$450="ERROR", ROW($C$2:$C$450)),ROW()-1)), "")</f>
        <v/>
      </c>
      <c r="Q307" s="5" t="str">
        <f t="array" ref="Q307">IFERROR(INDEX(G:G,SMALL(IF($I$2:$I$450="ERROR", ROW($G$2:$G$450)),ROW()-1)), "")</f>
        <v/>
      </c>
      <c r="R307" s="8" t="str">
        <f t="shared" si="9"/>
        <v/>
      </c>
    </row>
    <row r="308" spans="1:18" x14ac:dyDescent="0.45">
      <c r="A308" s="3" t="s">
        <v>729</v>
      </c>
      <c r="B308" s="1" t="s">
        <v>308</v>
      </c>
      <c r="C308" s="5">
        <v>5.0000000000000001E-3</v>
      </c>
      <c r="D308" s="4">
        <v>12975</v>
      </c>
      <c r="E308" s="4">
        <v>12975</v>
      </c>
      <c r="F308" s="4">
        <v>12945</v>
      </c>
      <c r="G308" s="5">
        <v>2.3121387283236996E-3</v>
      </c>
      <c r="H308" s="6"/>
      <c r="I308" s="2" t="str">
        <f t="shared" si="8"/>
        <v>-</v>
      </c>
      <c r="J308" s="1" t="str">
        <f>IF(I308="ERROR",BeepMe(),"")</f>
        <v/>
      </c>
      <c r="M308" s="2" t="str">
        <f t="array" ref="M308">IFERROR(INDEX(I:I,SMALL(IF($I$2:$I$450="ERROR", ROW($I$2:$I$450)),ROW()-1)), "")</f>
        <v/>
      </c>
      <c r="N308" s="2" t="str">
        <f t="array" ref="N308">IFERROR(INDEX(A:A,SMALL(IF($I$2:$I$450="ERROR", ROW($A$2:$A$450)),ROW()-1)), "")</f>
        <v/>
      </c>
      <c r="O308" s="2" t="str">
        <f t="array" ref="O308">IFERROR(INDEX(B:B,SMALL(IF($I$2:$I$450="ERROR", ROW($B$2:$B$450)),ROW()-1)), "")</f>
        <v/>
      </c>
      <c r="P308" s="5" t="str">
        <f t="array" ref="P308">IFERROR(INDEX(C:C,SMALL(IF($I$2:$I$450="ERROR", ROW($C$2:$C$450)),ROW()-1)), "")</f>
        <v/>
      </c>
      <c r="Q308" s="5" t="str">
        <f t="array" ref="Q308">IFERROR(INDEX(G:G,SMALL(IF($I$2:$I$450="ERROR", ROW($G$2:$G$450)),ROW()-1)), "")</f>
        <v/>
      </c>
      <c r="R308" s="8" t="str">
        <f t="shared" si="9"/>
        <v/>
      </c>
    </row>
    <row r="309" spans="1:18" x14ac:dyDescent="0.45">
      <c r="A309" s="3" t="s">
        <v>730</v>
      </c>
      <c r="B309" s="1" t="s">
        <v>309</v>
      </c>
      <c r="C309" s="5">
        <v>5.0000000000000001E-3</v>
      </c>
      <c r="D309" s="4">
        <v>16335</v>
      </c>
      <c r="E309" s="4">
        <v>16335</v>
      </c>
      <c r="F309" s="4">
        <v>16295</v>
      </c>
      <c r="G309" s="5">
        <v>2.4487297214569942E-3</v>
      </c>
      <c r="H309" s="6"/>
      <c r="I309" s="2" t="str">
        <f t="shared" si="8"/>
        <v>-</v>
      </c>
      <c r="J309" s="1" t="str">
        <f>IF(I309="ERROR",BeepMe(),"")</f>
        <v/>
      </c>
      <c r="M309" s="2" t="str">
        <f t="array" ref="M309">IFERROR(INDEX(I:I,SMALL(IF($I$2:$I$450="ERROR", ROW($I$2:$I$450)),ROW()-1)), "")</f>
        <v/>
      </c>
      <c r="N309" s="2" t="str">
        <f t="array" ref="N309">IFERROR(INDEX(A:A,SMALL(IF($I$2:$I$450="ERROR", ROW($A$2:$A$450)),ROW()-1)), "")</f>
        <v/>
      </c>
      <c r="O309" s="2" t="str">
        <f t="array" ref="O309">IFERROR(INDEX(B:B,SMALL(IF($I$2:$I$450="ERROR", ROW($B$2:$B$450)),ROW()-1)), "")</f>
        <v/>
      </c>
      <c r="P309" s="5" t="str">
        <f t="array" ref="P309">IFERROR(INDEX(C:C,SMALL(IF($I$2:$I$450="ERROR", ROW($C$2:$C$450)),ROW()-1)), "")</f>
        <v/>
      </c>
      <c r="Q309" s="5" t="str">
        <f t="array" ref="Q309">IFERROR(INDEX(G:G,SMALL(IF($I$2:$I$450="ERROR", ROW($G$2:$G$450)),ROW()-1)), "")</f>
        <v/>
      </c>
      <c r="R309" s="8" t="str">
        <f t="shared" si="9"/>
        <v/>
      </c>
    </row>
    <row r="310" spans="1:18" x14ac:dyDescent="0.45">
      <c r="A310" s="3" t="s">
        <v>731</v>
      </c>
      <c r="B310" s="1" t="s">
        <v>310</v>
      </c>
      <c r="C310" s="5">
        <v>5.0000000000000001E-3</v>
      </c>
      <c r="D310" s="4">
        <v>14760</v>
      </c>
      <c r="E310" s="4">
        <v>14760</v>
      </c>
      <c r="F310" s="4">
        <v>14745</v>
      </c>
      <c r="G310" s="5">
        <v>1.0162601626016261E-3</v>
      </c>
      <c r="H310" s="6"/>
      <c r="I310" s="2" t="str">
        <f t="shared" si="8"/>
        <v>-</v>
      </c>
      <c r="J310" s="1" t="str">
        <f>IF(I310="ERROR",BeepMe(),"")</f>
        <v/>
      </c>
      <c r="M310" s="2" t="str">
        <f t="array" ref="M310">IFERROR(INDEX(I:I,SMALL(IF($I$2:$I$450="ERROR", ROW($I$2:$I$450)),ROW()-1)), "")</f>
        <v/>
      </c>
      <c r="N310" s="2" t="str">
        <f t="array" ref="N310">IFERROR(INDEX(A:A,SMALL(IF($I$2:$I$450="ERROR", ROW($A$2:$A$450)),ROW()-1)), "")</f>
        <v/>
      </c>
      <c r="O310" s="2" t="str">
        <f t="array" ref="O310">IFERROR(INDEX(B:B,SMALL(IF($I$2:$I$450="ERROR", ROW($B$2:$B$450)),ROW()-1)), "")</f>
        <v/>
      </c>
      <c r="P310" s="5" t="str">
        <f t="array" ref="P310">IFERROR(INDEX(C:C,SMALL(IF($I$2:$I$450="ERROR", ROW($C$2:$C$450)),ROW()-1)), "")</f>
        <v/>
      </c>
      <c r="Q310" s="5" t="str">
        <f t="array" ref="Q310">IFERROR(INDEX(G:G,SMALL(IF($I$2:$I$450="ERROR", ROW($G$2:$G$450)),ROW()-1)), "")</f>
        <v/>
      </c>
      <c r="R310" s="8" t="str">
        <f t="shared" si="9"/>
        <v/>
      </c>
    </row>
    <row r="311" spans="1:18" x14ac:dyDescent="0.45">
      <c r="A311" s="3" t="s">
        <v>732</v>
      </c>
      <c r="B311" s="1" t="s">
        <v>311</v>
      </c>
      <c r="C311" s="5">
        <v>5.0000000000000001E-3</v>
      </c>
      <c r="D311" s="4">
        <v>15635</v>
      </c>
      <c r="E311" s="4">
        <v>15635</v>
      </c>
      <c r="F311" s="4">
        <v>15600</v>
      </c>
      <c r="G311" s="5">
        <v>2.238567316917173E-3</v>
      </c>
      <c r="H311" s="6"/>
      <c r="I311" s="2" t="str">
        <f t="shared" si="8"/>
        <v>-</v>
      </c>
      <c r="J311" s="1" t="str">
        <f>IF(I311="ERROR",BeepMe(),"")</f>
        <v/>
      </c>
      <c r="M311" s="2" t="str">
        <f t="array" ref="M311">IFERROR(INDEX(I:I,SMALL(IF($I$2:$I$450="ERROR", ROW($I$2:$I$450)),ROW()-1)), "")</f>
        <v/>
      </c>
      <c r="N311" s="2" t="str">
        <f t="array" ref="N311">IFERROR(INDEX(A:A,SMALL(IF($I$2:$I$450="ERROR", ROW($A$2:$A$450)),ROW()-1)), "")</f>
        <v/>
      </c>
      <c r="O311" s="2" t="str">
        <f t="array" ref="O311">IFERROR(INDEX(B:B,SMALL(IF($I$2:$I$450="ERROR", ROW($B$2:$B$450)),ROW()-1)), "")</f>
        <v/>
      </c>
      <c r="P311" s="5" t="str">
        <f t="array" ref="P311">IFERROR(INDEX(C:C,SMALL(IF($I$2:$I$450="ERROR", ROW($C$2:$C$450)),ROW()-1)), "")</f>
        <v/>
      </c>
      <c r="Q311" s="5" t="str">
        <f t="array" ref="Q311">IFERROR(INDEX(G:G,SMALL(IF($I$2:$I$450="ERROR", ROW($G$2:$G$450)),ROW()-1)), "")</f>
        <v/>
      </c>
      <c r="R311" s="8" t="str">
        <f t="shared" si="9"/>
        <v/>
      </c>
    </row>
    <row r="312" spans="1:18" x14ac:dyDescent="0.45">
      <c r="A312" s="3" t="s">
        <v>733</v>
      </c>
      <c r="B312" s="1" t="s">
        <v>312</v>
      </c>
      <c r="C312" s="5">
        <v>5.0000000000000001E-3</v>
      </c>
      <c r="D312" s="4">
        <v>14385</v>
      </c>
      <c r="E312" s="4">
        <v>14385</v>
      </c>
      <c r="F312" s="4">
        <v>14350</v>
      </c>
      <c r="G312" s="5">
        <v>2.4330900243309003E-3</v>
      </c>
      <c r="H312" s="6"/>
      <c r="I312" s="2" t="str">
        <f t="shared" si="8"/>
        <v>-</v>
      </c>
      <c r="J312" s="1" t="str">
        <f>IF(I312="ERROR",BeepMe(),"")</f>
        <v/>
      </c>
      <c r="M312" s="2" t="str">
        <f t="array" ref="M312">IFERROR(INDEX(I:I,SMALL(IF($I$2:$I$450="ERROR", ROW($I$2:$I$450)),ROW()-1)), "")</f>
        <v/>
      </c>
      <c r="N312" s="2" t="str">
        <f t="array" ref="N312">IFERROR(INDEX(A:A,SMALL(IF($I$2:$I$450="ERROR", ROW($A$2:$A$450)),ROW()-1)), "")</f>
        <v/>
      </c>
      <c r="O312" s="2" t="str">
        <f t="array" ref="O312">IFERROR(INDEX(B:B,SMALL(IF($I$2:$I$450="ERROR", ROW($B$2:$B$450)),ROW()-1)), "")</f>
        <v/>
      </c>
      <c r="P312" s="5" t="str">
        <f t="array" ref="P312">IFERROR(INDEX(C:C,SMALL(IF($I$2:$I$450="ERROR", ROW($C$2:$C$450)),ROW()-1)), "")</f>
        <v/>
      </c>
      <c r="Q312" s="5" t="str">
        <f t="array" ref="Q312">IFERROR(INDEX(G:G,SMALL(IF($I$2:$I$450="ERROR", ROW($G$2:$G$450)),ROW()-1)), "")</f>
        <v/>
      </c>
      <c r="R312" s="8" t="str">
        <f t="shared" si="9"/>
        <v/>
      </c>
    </row>
    <row r="313" spans="1:18" x14ac:dyDescent="0.45">
      <c r="A313" s="3" t="s">
        <v>734</v>
      </c>
      <c r="B313" s="1" t="s">
        <v>313</v>
      </c>
      <c r="C313" s="5">
        <v>0.01</v>
      </c>
      <c r="D313" s="4">
        <v>13500</v>
      </c>
      <c r="E313" s="4">
        <v>13500</v>
      </c>
      <c r="F313" s="4">
        <v>13495</v>
      </c>
      <c r="G313" s="5">
        <v>3.7037037037037035E-4</v>
      </c>
      <c r="H313" s="6"/>
      <c r="I313" s="2" t="str">
        <f t="shared" si="8"/>
        <v>-</v>
      </c>
      <c r="J313" s="1" t="str">
        <f>IF(I313="ERROR",BeepMe(),"")</f>
        <v/>
      </c>
      <c r="M313" s="2" t="str">
        <f t="array" ref="M313">IFERROR(INDEX(I:I,SMALL(IF($I$2:$I$450="ERROR", ROW($I$2:$I$450)),ROW()-1)), "")</f>
        <v/>
      </c>
      <c r="N313" s="2" t="str">
        <f t="array" ref="N313">IFERROR(INDEX(A:A,SMALL(IF($I$2:$I$450="ERROR", ROW($A$2:$A$450)),ROW()-1)), "")</f>
        <v/>
      </c>
      <c r="O313" s="2" t="str">
        <f t="array" ref="O313">IFERROR(INDEX(B:B,SMALL(IF($I$2:$I$450="ERROR", ROW($B$2:$B$450)),ROW()-1)), "")</f>
        <v/>
      </c>
      <c r="P313" s="5" t="str">
        <f t="array" ref="P313">IFERROR(INDEX(C:C,SMALL(IF($I$2:$I$450="ERROR", ROW($C$2:$C$450)),ROW()-1)), "")</f>
        <v/>
      </c>
      <c r="Q313" s="5" t="str">
        <f t="array" ref="Q313">IFERROR(INDEX(G:G,SMALL(IF($I$2:$I$450="ERROR", ROW($G$2:$G$450)),ROW()-1)), "")</f>
        <v/>
      </c>
      <c r="R313" s="8" t="str">
        <f t="shared" si="9"/>
        <v/>
      </c>
    </row>
    <row r="314" spans="1:18" x14ac:dyDescent="0.45">
      <c r="A314" s="3" t="s">
        <v>735</v>
      </c>
      <c r="B314" s="1" t="s">
        <v>314</v>
      </c>
      <c r="C314" s="5">
        <v>0.01</v>
      </c>
      <c r="D314" s="4">
        <v>4065</v>
      </c>
      <c r="E314" s="4">
        <v>4085</v>
      </c>
      <c r="F314" s="4">
        <v>4065</v>
      </c>
      <c r="G314" s="5">
        <v>4.9200492004920051E-3</v>
      </c>
      <c r="H314" s="6"/>
      <c r="I314" s="2" t="str">
        <f t="shared" si="8"/>
        <v>-</v>
      </c>
      <c r="J314" s="1" t="str">
        <f>IF(I314="ERROR",BeepMe(),"")</f>
        <v/>
      </c>
      <c r="M314" s="2" t="str">
        <f t="array" ref="M314">IFERROR(INDEX(I:I,SMALL(IF($I$2:$I$450="ERROR", ROW($I$2:$I$450)),ROW()-1)), "")</f>
        <v/>
      </c>
      <c r="N314" s="2" t="str">
        <f t="array" ref="N314">IFERROR(INDEX(A:A,SMALL(IF($I$2:$I$450="ERROR", ROW($A$2:$A$450)),ROW()-1)), "")</f>
        <v/>
      </c>
      <c r="O314" s="2" t="str">
        <f t="array" ref="O314">IFERROR(INDEX(B:B,SMALL(IF($I$2:$I$450="ERROR", ROW($B$2:$B$450)),ROW()-1)), "")</f>
        <v/>
      </c>
      <c r="P314" s="5" t="str">
        <f t="array" ref="P314">IFERROR(INDEX(C:C,SMALL(IF($I$2:$I$450="ERROR", ROW($C$2:$C$450)),ROW()-1)), "")</f>
        <v/>
      </c>
      <c r="Q314" s="5" t="str">
        <f t="array" ref="Q314">IFERROR(INDEX(G:G,SMALL(IF($I$2:$I$450="ERROR", ROW($G$2:$G$450)),ROW()-1)), "")</f>
        <v/>
      </c>
      <c r="R314" s="8" t="str">
        <f t="shared" si="9"/>
        <v/>
      </c>
    </row>
    <row r="315" spans="1:18" x14ac:dyDescent="0.45">
      <c r="A315" s="3" t="s">
        <v>736</v>
      </c>
      <c r="B315" s="1" t="s">
        <v>315</v>
      </c>
      <c r="C315" s="5">
        <v>5.0000000000000001E-3</v>
      </c>
      <c r="D315" s="4">
        <v>100380</v>
      </c>
      <c r="E315" s="4">
        <v>100365</v>
      </c>
      <c r="F315" s="4">
        <v>100290</v>
      </c>
      <c r="G315" s="5">
        <v>7.4716078900179323E-4</v>
      </c>
      <c r="H315" s="6"/>
      <c r="I315" s="2" t="str">
        <f t="shared" si="8"/>
        <v>-</v>
      </c>
      <c r="J315" s="1" t="str">
        <f>IF(I315="ERROR",BeepMe(),"")</f>
        <v/>
      </c>
      <c r="M315" s="2" t="str">
        <f t="array" ref="M315">IFERROR(INDEX(I:I,SMALL(IF($I$2:$I$450="ERROR", ROW($I$2:$I$450)),ROW()-1)), "")</f>
        <v/>
      </c>
      <c r="N315" s="2" t="str">
        <f t="array" ref="N315">IFERROR(INDEX(A:A,SMALL(IF($I$2:$I$450="ERROR", ROW($A$2:$A$450)),ROW()-1)), "")</f>
        <v/>
      </c>
      <c r="O315" s="2" t="str">
        <f t="array" ref="O315">IFERROR(INDEX(B:B,SMALL(IF($I$2:$I$450="ERROR", ROW($B$2:$B$450)),ROW()-1)), "")</f>
        <v/>
      </c>
      <c r="P315" s="5" t="str">
        <f t="array" ref="P315">IFERROR(INDEX(C:C,SMALL(IF($I$2:$I$450="ERROR", ROW($C$2:$C$450)),ROW()-1)), "")</f>
        <v/>
      </c>
      <c r="Q315" s="5" t="str">
        <f t="array" ref="Q315">IFERROR(INDEX(G:G,SMALL(IF($I$2:$I$450="ERROR", ROW($G$2:$G$450)),ROW()-1)), "")</f>
        <v/>
      </c>
      <c r="R315" s="8" t="str">
        <f t="shared" si="9"/>
        <v/>
      </c>
    </row>
    <row r="316" spans="1:18" x14ac:dyDescent="0.45">
      <c r="A316" s="3" t="s">
        <v>737</v>
      </c>
      <c r="B316" s="1" t="s">
        <v>316</v>
      </c>
      <c r="C316" s="5">
        <v>5.0000000000000001E-3</v>
      </c>
      <c r="D316" s="4">
        <v>5990</v>
      </c>
      <c r="E316" s="4">
        <v>5990</v>
      </c>
      <c r="F316" s="4">
        <v>5985</v>
      </c>
      <c r="G316" s="5">
        <v>8.3472454090150253E-4</v>
      </c>
      <c r="H316" s="6"/>
      <c r="I316" s="2" t="str">
        <f t="shared" si="8"/>
        <v>-</v>
      </c>
      <c r="J316" s="1" t="str">
        <f>IF(I316="ERROR",BeepMe(),"")</f>
        <v/>
      </c>
      <c r="M316" s="2" t="str">
        <f t="array" ref="M316">IFERROR(INDEX(I:I,SMALL(IF($I$2:$I$450="ERROR", ROW($I$2:$I$450)),ROW()-1)), "")</f>
        <v/>
      </c>
      <c r="N316" s="2" t="str">
        <f t="array" ref="N316">IFERROR(INDEX(A:A,SMALL(IF($I$2:$I$450="ERROR", ROW($A$2:$A$450)),ROW()-1)), "")</f>
        <v/>
      </c>
      <c r="O316" s="2" t="str">
        <f t="array" ref="O316">IFERROR(INDEX(B:B,SMALL(IF($I$2:$I$450="ERROR", ROW($B$2:$B$450)),ROW()-1)), "")</f>
        <v/>
      </c>
      <c r="P316" s="5" t="str">
        <f t="array" ref="P316">IFERROR(INDEX(C:C,SMALL(IF($I$2:$I$450="ERROR", ROW($C$2:$C$450)),ROW()-1)), "")</f>
        <v/>
      </c>
      <c r="Q316" s="5" t="str">
        <f t="array" ref="Q316">IFERROR(INDEX(G:G,SMALL(IF($I$2:$I$450="ERROR", ROW($G$2:$G$450)),ROW()-1)), "")</f>
        <v/>
      </c>
      <c r="R316" s="8" t="str">
        <f t="shared" si="9"/>
        <v/>
      </c>
    </row>
    <row r="317" spans="1:18" x14ac:dyDescent="0.45">
      <c r="A317" s="3" t="s">
        <v>738</v>
      </c>
      <c r="B317" s="1" t="s">
        <v>317</v>
      </c>
      <c r="C317" s="5">
        <v>0.01</v>
      </c>
      <c r="D317" s="4">
        <v>9960</v>
      </c>
      <c r="E317" s="4">
        <v>9960</v>
      </c>
      <c r="F317" s="4">
        <v>9885</v>
      </c>
      <c r="G317" s="5">
        <v>7.5301204819277108E-3</v>
      </c>
      <c r="H317" s="6"/>
      <c r="I317" s="2" t="str">
        <f t="shared" si="8"/>
        <v>-</v>
      </c>
      <c r="J317" s="1" t="str">
        <f>IF(I317="ERROR",BeepMe(),"")</f>
        <v/>
      </c>
      <c r="M317" s="2" t="str">
        <f t="array" ref="M317">IFERROR(INDEX(I:I,SMALL(IF($I$2:$I$450="ERROR", ROW($I$2:$I$450)),ROW()-1)), "")</f>
        <v/>
      </c>
      <c r="N317" s="2" t="str">
        <f t="array" ref="N317">IFERROR(INDEX(A:A,SMALL(IF($I$2:$I$450="ERROR", ROW($A$2:$A$450)),ROW()-1)), "")</f>
        <v/>
      </c>
      <c r="O317" s="2" t="str">
        <f t="array" ref="O317">IFERROR(INDEX(B:B,SMALL(IF($I$2:$I$450="ERROR", ROW($B$2:$B$450)),ROW()-1)), "")</f>
        <v/>
      </c>
      <c r="P317" s="5" t="str">
        <f t="array" ref="P317">IFERROR(INDEX(C:C,SMALL(IF($I$2:$I$450="ERROR", ROW($C$2:$C$450)),ROW()-1)), "")</f>
        <v/>
      </c>
      <c r="Q317" s="5" t="str">
        <f t="array" ref="Q317">IFERROR(INDEX(G:G,SMALL(IF($I$2:$I$450="ERROR", ROW($G$2:$G$450)),ROW()-1)), "")</f>
        <v/>
      </c>
      <c r="R317" s="8" t="str">
        <f t="shared" si="9"/>
        <v/>
      </c>
    </row>
    <row r="318" spans="1:18" x14ac:dyDescent="0.45">
      <c r="A318" s="3" t="s">
        <v>739</v>
      </c>
      <c r="B318" s="1" t="s">
        <v>318</v>
      </c>
      <c r="C318" s="5">
        <v>0.01</v>
      </c>
      <c r="D318" s="4">
        <v>17175</v>
      </c>
      <c r="E318" s="4">
        <v>17205</v>
      </c>
      <c r="F318" s="4">
        <v>17175</v>
      </c>
      <c r="G318" s="5">
        <v>1.7467248908296944E-3</v>
      </c>
      <c r="H318" s="6"/>
      <c r="I318" s="2" t="str">
        <f t="shared" si="8"/>
        <v>-</v>
      </c>
      <c r="J318" s="1" t="str">
        <f>IF(I318="ERROR",BeepMe(),"")</f>
        <v/>
      </c>
      <c r="M318" s="2" t="str">
        <f t="array" ref="M318">IFERROR(INDEX(I:I,SMALL(IF($I$2:$I$450="ERROR", ROW($I$2:$I$450)),ROW()-1)), "")</f>
        <v/>
      </c>
      <c r="N318" s="2" t="str">
        <f t="array" ref="N318">IFERROR(INDEX(A:A,SMALL(IF($I$2:$I$450="ERROR", ROW($A$2:$A$450)),ROW()-1)), "")</f>
        <v/>
      </c>
      <c r="O318" s="2" t="str">
        <f t="array" ref="O318">IFERROR(INDEX(B:B,SMALL(IF($I$2:$I$450="ERROR", ROW($B$2:$B$450)),ROW()-1)), "")</f>
        <v/>
      </c>
      <c r="P318" s="5" t="str">
        <f t="array" ref="P318">IFERROR(INDEX(C:C,SMALL(IF($I$2:$I$450="ERROR", ROW($C$2:$C$450)),ROW()-1)), "")</f>
        <v/>
      </c>
      <c r="Q318" s="5" t="str">
        <f t="array" ref="Q318">IFERROR(INDEX(G:G,SMALL(IF($I$2:$I$450="ERROR", ROW($G$2:$G$450)),ROW()-1)), "")</f>
        <v/>
      </c>
      <c r="R318" s="8" t="str">
        <f t="shared" si="9"/>
        <v/>
      </c>
    </row>
    <row r="319" spans="1:18" x14ac:dyDescent="0.45">
      <c r="A319" s="3" t="s">
        <v>740</v>
      </c>
      <c r="B319" s="1" t="s">
        <v>319</v>
      </c>
      <c r="C319" s="5">
        <v>5.0000000000000001E-3</v>
      </c>
      <c r="D319" s="4">
        <v>12970</v>
      </c>
      <c r="E319" s="4">
        <v>12965</v>
      </c>
      <c r="F319" s="4">
        <v>12935</v>
      </c>
      <c r="G319" s="5">
        <v>2.3130300693909021E-3</v>
      </c>
      <c r="H319" s="6"/>
      <c r="I319" s="2" t="str">
        <f t="shared" si="8"/>
        <v>-</v>
      </c>
      <c r="J319" s="1" t="str">
        <f>IF(I319="ERROR",BeepMe(),"")</f>
        <v/>
      </c>
      <c r="M319" s="2" t="str">
        <f t="array" ref="M319">IFERROR(INDEX(I:I,SMALL(IF($I$2:$I$450="ERROR", ROW($I$2:$I$450)),ROW()-1)), "")</f>
        <v/>
      </c>
      <c r="N319" s="2" t="str">
        <f t="array" ref="N319">IFERROR(INDEX(A:A,SMALL(IF($I$2:$I$450="ERROR", ROW($A$2:$A$450)),ROW()-1)), "")</f>
        <v/>
      </c>
      <c r="O319" s="2" t="str">
        <f t="array" ref="O319">IFERROR(INDEX(B:B,SMALL(IF($I$2:$I$450="ERROR", ROW($B$2:$B$450)),ROW()-1)), "")</f>
        <v/>
      </c>
      <c r="P319" s="5" t="str">
        <f t="array" ref="P319">IFERROR(INDEX(C:C,SMALL(IF($I$2:$I$450="ERROR", ROW($C$2:$C$450)),ROW()-1)), "")</f>
        <v/>
      </c>
      <c r="Q319" s="5" t="str">
        <f t="array" ref="Q319">IFERROR(INDEX(G:G,SMALL(IF($I$2:$I$450="ERROR", ROW($G$2:$G$450)),ROW()-1)), "")</f>
        <v/>
      </c>
      <c r="R319" s="8" t="str">
        <f t="shared" si="9"/>
        <v/>
      </c>
    </row>
    <row r="320" spans="1:18" x14ac:dyDescent="0.45">
      <c r="A320" s="3" t="s">
        <v>741</v>
      </c>
      <c r="B320" s="1" t="s">
        <v>320</v>
      </c>
      <c r="C320" s="5">
        <v>5.0000000000000001E-3</v>
      </c>
      <c r="D320" s="4">
        <v>50755</v>
      </c>
      <c r="E320" s="4">
        <v>50775</v>
      </c>
      <c r="F320" s="4">
        <v>50760</v>
      </c>
      <c r="G320" s="5">
        <v>2.9553738547926311E-4</v>
      </c>
      <c r="H320" s="6"/>
      <c r="I320" s="2" t="str">
        <f t="shared" si="8"/>
        <v>-</v>
      </c>
      <c r="J320" s="1" t="str">
        <f>IF(I320="ERROR",BeepMe(),"")</f>
        <v/>
      </c>
      <c r="M320" s="2" t="str">
        <f t="array" ref="M320">IFERROR(INDEX(I:I,SMALL(IF($I$2:$I$450="ERROR", ROW($I$2:$I$450)),ROW()-1)), "")</f>
        <v/>
      </c>
      <c r="N320" s="2" t="str">
        <f t="array" ref="N320">IFERROR(INDEX(A:A,SMALL(IF($I$2:$I$450="ERROR", ROW($A$2:$A$450)),ROW()-1)), "")</f>
        <v/>
      </c>
      <c r="O320" s="2" t="str">
        <f t="array" ref="O320">IFERROR(INDEX(B:B,SMALL(IF($I$2:$I$450="ERROR", ROW($B$2:$B$450)),ROW()-1)), "")</f>
        <v/>
      </c>
      <c r="P320" s="5" t="str">
        <f t="array" ref="P320">IFERROR(INDEX(C:C,SMALL(IF($I$2:$I$450="ERROR", ROW($C$2:$C$450)),ROW()-1)), "")</f>
        <v/>
      </c>
      <c r="Q320" s="5" t="str">
        <f t="array" ref="Q320">IFERROR(INDEX(G:G,SMALL(IF($I$2:$I$450="ERROR", ROW($G$2:$G$450)),ROW()-1)), "")</f>
        <v/>
      </c>
      <c r="R320" s="8" t="str">
        <f t="shared" si="9"/>
        <v/>
      </c>
    </row>
    <row r="321" spans="1:18" x14ac:dyDescent="0.45">
      <c r="A321" s="3" t="s">
        <v>742</v>
      </c>
      <c r="B321" s="1" t="s">
        <v>321</v>
      </c>
      <c r="C321" s="5">
        <v>5.0000000000000001E-3</v>
      </c>
      <c r="D321" s="4">
        <v>10380</v>
      </c>
      <c r="E321" s="4">
        <v>10390</v>
      </c>
      <c r="F321" s="4">
        <v>10355</v>
      </c>
      <c r="G321" s="5">
        <v>3.3718689788053949E-3</v>
      </c>
      <c r="H321" s="6"/>
      <c r="I321" s="2" t="str">
        <f t="shared" si="8"/>
        <v>-</v>
      </c>
      <c r="J321" s="1" t="str">
        <f>IF(I321="ERROR",BeepMe(),"")</f>
        <v/>
      </c>
      <c r="M321" s="2" t="str">
        <f t="array" ref="M321">IFERROR(INDEX(I:I,SMALL(IF($I$2:$I$450="ERROR", ROW($I$2:$I$450)),ROW()-1)), "")</f>
        <v/>
      </c>
      <c r="N321" s="2" t="str">
        <f t="array" ref="N321">IFERROR(INDEX(A:A,SMALL(IF($I$2:$I$450="ERROR", ROW($A$2:$A$450)),ROW()-1)), "")</f>
        <v/>
      </c>
      <c r="O321" s="2" t="str">
        <f t="array" ref="O321">IFERROR(INDEX(B:B,SMALL(IF($I$2:$I$450="ERROR", ROW($B$2:$B$450)),ROW()-1)), "")</f>
        <v/>
      </c>
      <c r="P321" s="5" t="str">
        <f t="array" ref="P321">IFERROR(INDEX(C:C,SMALL(IF($I$2:$I$450="ERROR", ROW($C$2:$C$450)),ROW()-1)), "")</f>
        <v/>
      </c>
      <c r="Q321" s="5" t="str">
        <f t="array" ref="Q321">IFERROR(INDEX(G:G,SMALL(IF($I$2:$I$450="ERROR", ROW($G$2:$G$450)),ROW()-1)), "")</f>
        <v/>
      </c>
      <c r="R321" s="8" t="str">
        <f t="shared" si="9"/>
        <v/>
      </c>
    </row>
    <row r="322" spans="1:18" x14ac:dyDescent="0.45">
      <c r="A322" s="3" t="s">
        <v>743</v>
      </c>
      <c r="B322" s="1" t="s">
        <v>322</v>
      </c>
      <c r="C322" s="5">
        <v>5.0000000000000001E-3</v>
      </c>
      <c r="D322" s="4">
        <v>8750</v>
      </c>
      <c r="E322" s="4">
        <v>8830</v>
      </c>
      <c r="F322" s="4">
        <v>8795</v>
      </c>
      <c r="G322" s="5">
        <v>4.0000000000000001E-3</v>
      </c>
      <c r="H322" s="6"/>
      <c r="I322" s="2" t="str">
        <f t="shared" si="8"/>
        <v>-</v>
      </c>
      <c r="J322" s="1" t="str">
        <f>IF(I322="ERROR",BeepMe(),"")</f>
        <v/>
      </c>
      <c r="M322" s="2" t="str">
        <f t="array" ref="M322">IFERROR(INDEX(I:I,SMALL(IF($I$2:$I$450="ERROR", ROW($I$2:$I$450)),ROW()-1)), "")</f>
        <v/>
      </c>
      <c r="N322" s="2" t="str">
        <f t="array" ref="N322">IFERROR(INDEX(A:A,SMALL(IF($I$2:$I$450="ERROR", ROW($A$2:$A$450)),ROW()-1)), "")</f>
        <v/>
      </c>
      <c r="O322" s="2" t="str">
        <f t="array" ref="O322">IFERROR(INDEX(B:B,SMALL(IF($I$2:$I$450="ERROR", ROW($B$2:$B$450)),ROW()-1)), "")</f>
        <v/>
      </c>
      <c r="P322" s="5" t="str">
        <f t="array" ref="P322">IFERROR(INDEX(C:C,SMALL(IF($I$2:$I$450="ERROR", ROW($C$2:$C$450)),ROW()-1)), "")</f>
        <v/>
      </c>
      <c r="Q322" s="5" t="str">
        <f t="array" ref="Q322">IFERROR(INDEX(G:G,SMALL(IF($I$2:$I$450="ERROR", ROW($G$2:$G$450)),ROW()-1)), "")</f>
        <v/>
      </c>
      <c r="R322" s="8" t="str">
        <f t="shared" si="9"/>
        <v/>
      </c>
    </row>
    <row r="323" spans="1:18" x14ac:dyDescent="0.45">
      <c r="A323" s="3" t="s">
        <v>744</v>
      </c>
      <c r="B323" s="1" t="s">
        <v>323</v>
      </c>
      <c r="C323" s="5">
        <v>0.01</v>
      </c>
      <c r="D323" s="4">
        <v>13785</v>
      </c>
      <c r="E323" s="4">
        <v>13785</v>
      </c>
      <c r="F323" s="4">
        <v>13780</v>
      </c>
      <c r="G323" s="5">
        <v>3.6271309394269132E-4</v>
      </c>
      <c r="H323" s="6"/>
      <c r="I323" s="2" t="str">
        <f t="shared" ref="I323:I386" si="10">IF(G323&gt;C323, "ERROR", "-")</f>
        <v>-</v>
      </c>
      <c r="J323" s="1" t="str">
        <f>IF(I323="ERROR",BeepMe(),"")</f>
        <v/>
      </c>
      <c r="M323" s="2" t="str">
        <f t="array" ref="M323">IFERROR(INDEX(I:I,SMALL(IF($I$2:$I$450="ERROR", ROW($I$2:$I$450)),ROW()-1)), "")</f>
        <v/>
      </c>
      <c r="N323" s="2" t="str">
        <f t="array" ref="N323">IFERROR(INDEX(A:A,SMALL(IF($I$2:$I$450="ERROR", ROW($A$2:$A$450)),ROW()-1)), "")</f>
        <v/>
      </c>
      <c r="O323" s="2" t="str">
        <f t="array" ref="O323">IFERROR(INDEX(B:B,SMALL(IF($I$2:$I$450="ERROR", ROW($B$2:$B$450)),ROW()-1)), "")</f>
        <v/>
      </c>
      <c r="P323" s="5" t="str">
        <f t="array" ref="P323">IFERROR(INDEX(C:C,SMALL(IF($I$2:$I$450="ERROR", ROW($C$2:$C$450)),ROW()-1)), "")</f>
        <v/>
      </c>
      <c r="Q323" s="5" t="str">
        <f t="array" ref="Q323">IFERROR(INDEX(G:G,SMALL(IF($I$2:$I$450="ERROR", ROW($G$2:$G$450)),ROW()-1)), "")</f>
        <v/>
      </c>
      <c r="R323" s="8" t="str">
        <f t="shared" ref="R323:R386" si="11">IFERROR(Q323-P323,"")</f>
        <v/>
      </c>
    </row>
    <row r="324" spans="1:18" x14ac:dyDescent="0.45">
      <c r="A324" s="3" t="s">
        <v>745</v>
      </c>
      <c r="B324" s="1" t="s">
        <v>324</v>
      </c>
      <c r="C324" s="5">
        <v>0.01</v>
      </c>
      <c r="D324" s="4">
        <v>13700</v>
      </c>
      <c r="E324" s="4">
        <v>13705</v>
      </c>
      <c r="F324" s="4">
        <v>13700</v>
      </c>
      <c r="G324" s="5">
        <v>3.6496350364963501E-4</v>
      </c>
      <c r="H324" s="6"/>
      <c r="I324" s="2" t="str">
        <f t="shared" si="10"/>
        <v>-</v>
      </c>
      <c r="J324" s="1" t="str">
        <f>IF(I324="ERROR",BeepMe(),"")</f>
        <v/>
      </c>
      <c r="M324" s="2" t="str">
        <f t="array" ref="M324">IFERROR(INDEX(I:I,SMALL(IF($I$2:$I$450="ERROR", ROW($I$2:$I$450)),ROW()-1)), "")</f>
        <v/>
      </c>
      <c r="N324" s="2" t="str">
        <f t="array" ref="N324">IFERROR(INDEX(A:A,SMALL(IF($I$2:$I$450="ERROR", ROW($A$2:$A$450)),ROW()-1)), "")</f>
        <v/>
      </c>
      <c r="O324" s="2" t="str">
        <f t="array" ref="O324">IFERROR(INDEX(B:B,SMALL(IF($I$2:$I$450="ERROR", ROW($B$2:$B$450)),ROW()-1)), "")</f>
        <v/>
      </c>
      <c r="P324" s="5" t="str">
        <f t="array" ref="P324">IFERROR(INDEX(C:C,SMALL(IF($I$2:$I$450="ERROR", ROW($C$2:$C$450)),ROW()-1)), "")</f>
        <v/>
      </c>
      <c r="Q324" s="5" t="str">
        <f t="array" ref="Q324">IFERROR(INDEX(G:G,SMALL(IF($I$2:$I$450="ERROR", ROW($G$2:$G$450)),ROW()-1)), "")</f>
        <v/>
      </c>
      <c r="R324" s="8" t="str">
        <f t="shared" si="11"/>
        <v/>
      </c>
    </row>
    <row r="325" spans="1:18" x14ac:dyDescent="0.45">
      <c r="A325" s="3" t="s">
        <v>746</v>
      </c>
      <c r="B325" s="1" t="s">
        <v>325</v>
      </c>
      <c r="C325" s="5">
        <v>5.0000000000000001E-3</v>
      </c>
      <c r="D325" s="4">
        <v>18535</v>
      </c>
      <c r="E325" s="4">
        <v>18535</v>
      </c>
      <c r="F325" s="4">
        <v>18515</v>
      </c>
      <c r="G325" s="5">
        <v>1.0790396547073105E-3</v>
      </c>
      <c r="H325" s="6"/>
      <c r="I325" s="2" t="str">
        <f t="shared" si="10"/>
        <v>-</v>
      </c>
      <c r="J325" s="1" t="str">
        <f>IF(I325="ERROR",BeepMe(),"")</f>
        <v/>
      </c>
      <c r="M325" s="2" t="str">
        <f t="array" ref="M325">IFERROR(INDEX(I:I,SMALL(IF($I$2:$I$450="ERROR", ROW($I$2:$I$450)),ROW()-1)), "")</f>
        <v/>
      </c>
      <c r="N325" s="2" t="str">
        <f t="array" ref="N325">IFERROR(INDEX(A:A,SMALL(IF($I$2:$I$450="ERROR", ROW($A$2:$A$450)),ROW()-1)), "")</f>
        <v/>
      </c>
      <c r="O325" s="2" t="str">
        <f t="array" ref="O325">IFERROR(INDEX(B:B,SMALL(IF($I$2:$I$450="ERROR", ROW($B$2:$B$450)),ROW()-1)), "")</f>
        <v/>
      </c>
      <c r="P325" s="5" t="str">
        <f t="array" ref="P325">IFERROR(INDEX(C:C,SMALL(IF($I$2:$I$450="ERROR", ROW($C$2:$C$450)),ROW()-1)), "")</f>
        <v/>
      </c>
      <c r="Q325" s="5" t="str">
        <f t="array" ref="Q325">IFERROR(INDEX(G:G,SMALL(IF($I$2:$I$450="ERROR", ROW($G$2:$G$450)),ROW()-1)), "")</f>
        <v/>
      </c>
      <c r="R325" s="8" t="str">
        <f t="shared" si="11"/>
        <v/>
      </c>
    </row>
    <row r="326" spans="1:18" x14ac:dyDescent="0.45">
      <c r="A326" s="3" t="s">
        <v>747</v>
      </c>
      <c r="B326" s="1" t="s">
        <v>326</v>
      </c>
      <c r="C326" s="5">
        <v>0.01</v>
      </c>
      <c r="D326" s="4">
        <v>13950</v>
      </c>
      <c r="E326" s="4">
        <v>13950</v>
      </c>
      <c r="F326" s="4">
        <v>13835</v>
      </c>
      <c r="G326" s="5">
        <v>8.2437275985663087E-3</v>
      </c>
      <c r="H326" s="6"/>
      <c r="I326" s="2" t="str">
        <f t="shared" si="10"/>
        <v>-</v>
      </c>
      <c r="J326" s="1" t="str">
        <f>IF(I326="ERROR",BeepMe(),"")</f>
        <v/>
      </c>
      <c r="M326" s="2" t="str">
        <f t="array" ref="M326">IFERROR(INDEX(I:I,SMALL(IF($I$2:$I$450="ERROR", ROW($I$2:$I$450)),ROW()-1)), "")</f>
        <v/>
      </c>
      <c r="N326" s="2" t="str">
        <f t="array" ref="N326">IFERROR(INDEX(A:A,SMALL(IF($I$2:$I$450="ERROR", ROW($A$2:$A$450)),ROW()-1)), "")</f>
        <v/>
      </c>
      <c r="O326" s="2" t="str">
        <f t="array" ref="O326">IFERROR(INDEX(B:B,SMALL(IF($I$2:$I$450="ERROR", ROW($B$2:$B$450)),ROW()-1)), "")</f>
        <v/>
      </c>
      <c r="P326" s="5" t="str">
        <f t="array" ref="P326">IFERROR(INDEX(C:C,SMALL(IF($I$2:$I$450="ERROR", ROW($C$2:$C$450)),ROW()-1)), "")</f>
        <v/>
      </c>
      <c r="Q326" s="5" t="str">
        <f t="array" ref="Q326">IFERROR(INDEX(G:G,SMALL(IF($I$2:$I$450="ERROR", ROW($G$2:$G$450)),ROW()-1)), "")</f>
        <v/>
      </c>
      <c r="R326" s="8" t="str">
        <f t="shared" si="11"/>
        <v/>
      </c>
    </row>
    <row r="327" spans="1:18" x14ac:dyDescent="0.45">
      <c r="A327" s="3" t="s">
        <v>748</v>
      </c>
      <c r="B327" s="1" t="s">
        <v>327</v>
      </c>
      <c r="C327" s="5">
        <v>5.0000000000000001E-3</v>
      </c>
      <c r="D327" s="4">
        <v>8900</v>
      </c>
      <c r="E327" s="4">
        <v>8900</v>
      </c>
      <c r="F327" s="4">
        <v>8895</v>
      </c>
      <c r="G327" s="5">
        <v>5.6179775280898881E-4</v>
      </c>
      <c r="H327" s="6"/>
      <c r="I327" s="2" t="str">
        <f t="shared" si="10"/>
        <v>-</v>
      </c>
      <c r="J327" s="1" t="str">
        <f>IF(I327="ERROR",BeepMe(),"")</f>
        <v/>
      </c>
      <c r="M327" s="2" t="str">
        <f t="array" ref="M327">IFERROR(INDEX(I:I,SMALL(IF($I$2:$I$450="ERROR", ROW($I$2:$I$450)),ROW()-1)), "")</f>
        <v/>
      </c>
      <c r="N327" s="2" t="str">
        <f t="array" ref="N327">IFERROR(INDEX(A:A,SMALL(IF($I$2:$I$450="ERROR", ROW($A$2:$A$450)),ROW()-1)), "")</f>
        <v/>
      </c>
      <c r="O327" s="2" t="str">
        <f t="array" ref="O327">IFERROR(INDEX(B:B,SMALL(IF($I$2:$I$450="ERROR", ROW($B$2:$B$450)),ROW()-1)), "")</f>
        <v/>
      </c>
      <c r="P327" s="5" t="str">
        <f t="array" ref="P327">IFERROR(INDEX(C:C,SMALL(IF($I$2:$I$450="ERROR", ROW($C$2:$C$450)),ROW()-1)), "")</f>
        <v/>
      </c>
      <c r="Q327" s="5" t="str">
        <f t="array" ref="Q327">IFERROR(INDEX(G:G,SMALL(IF($I$2:$I$450="ERROR", ROW($G$2:$G$450)),ROW()-1)), "")</f>
        <v/>
      </c>
      <c r="R327" s="8" t="str">
        <f t="shared" si="11"/>
        <v/>
      </c>
    </row>
    <row r="328" spans="1:18" x14ac:dyDescent="0.45">
      <c r="A328" s="3" t="s">
        <v>749</v>
      </c>
      <c r="B328" s="1" t="s">
        <v>328</v>
      </c>
      <c r="C328" s="5">
        <v>5.0000000000000001E-3</v>
      </c>
      <c r="D328" s="4">
        <v>6845</v>
      </c>
      <c r="E328" s="4">
        <v>6845</v>
      </c>
      <c r="F328" s="4">
        <v>6840</v>
      </c>
      <c r="G328" s="5">
        <v>7.3046018991964939E-4</v>
      </c>
      <c r="H328" s="6"/>
      <c r="I328" s="2" t="str">
        <f t="shared" si="10"/>
        <v>-</v>
      </c>
      <c r="J328" s="1" t="str">
        <f>IF(I328="ERROR",BeepMe(),"")</f>
        <v/>
      </c>
      <c r="M328" s="2" t="str">
        <f t="array" ref="M328">IFERROR(INDEX(I:I,SMALL(IF($I$2:$I$450="ERROR", ROW($I$2:$I$450)),ROW()-1)), "")</f>
        <v/>
      </c>
      <c r="N328" s="2" t="str">
        <f t="array" ref="N328">IFERROR(INDEX(A:A,SMALL(IF($I$2:$I$450="ERROR", ROW($A$2:$A$450)),ROW()-1)), "")</f>
        <v/>
      </c>
      <c r="O328" s="2" t="str">
        <f t="array" ref="O328">IFERROR(INDEX(B:B,SMALL(IF($I$2:$I$450="ERROR", ROW($B$2:$B$450)),ROW()-1)), "")</f>
        <v/>
      </c>
      <c r="P328" s="5" t="str">
        <f t="array" ref="P328">IFERROR(INDEX(C:C,SMALL(IF($I$2:$I$450="ERROR", ROW($C$2:$C$450)),ROW()-1)), "")</f>
        <v/>
      </c>
      <c r="Q328" s="5" t="str">
        <f t="array" ref="Q328">IFERROR(INDEX(G:G,SMALL(IF($I$2:$I$450="ERROR", ROW($G$2:$G$450)),ROW()-1)), "")</f>
        <v/>
      </c>
      <c r="R328" s="8" t="str">
        <f t="shared" si="11"/>
        <v/>
      </c>
    </row>
    <row r="329" spans="1:18" x14ac:dyDescent="0.45">
      <c r="A329" s="3" t="s">
        <v>750</v>
      </c>
      <c r="B329" s="1" t="s">
        <v>329</v>
      </c>
      <c r="C329" s="5">
        <v>5.0000000000000001E-3</v>
      </c>
      <c r="D329" s="4">
        <v>14385</v>
      </c>
      <c r="E329" s="4">
        <v>14385</v>
      </c>
      <c r="F329" s="4">
        <v>14380</v>
      </c>
      <c r="G329" s="5">
        <v>3.4758428919012862E-4</v>
      </c>
      <c r="H329" s="6"/>
      <c r="I329" s="2" t="str">
        <f t="shared" si="10"/>
        <v>-</v>
      </c>
      <c r="J329" s="1" t="str">
        <f>IF(I329="ERROR",BeepMe(),"")</f>
        <v/>
      </c>
      <c r="M329" s="2" t="str">
        <f t="array" ref="M329">IFERROR(INDEX(I:I,SMALL(IF($I$2:$I$450="ERROR", ROW($I$2:$I$450)),ROW()-1)), "")</f>
        <v/>
      </c>
      <c r="N329" s="2" t="str">
        <f t="array" ref="N329">IFERROR(INDEX(A:A,SMALL(IF($I$2:$I$450="ERROR", ROW($A$2:$A$450)),ROW()-1)), "")</f>
        <v/>
      </c>
      <c r="O329" s="2" t="str">
        <f t="array" ref="O329">IFERROR(INDEX(B:B,SMALL(IF($I$2:$I$450="ERROR", ROW($B$2:$B$450)),ROW()-1)), "")</f>
        <v/>
      </c>
      <c r="P329" s="5" t="str">
        <f t="array" ref="P329">IFERROR(INDEX(C:C,SMALL(IF($I$2:$I$450="ERROR", ROW($C$2:$C$450)),ROW()-1)), "")</f>
        <v/>
      </c>
      <c r="Q329" s="5" t="str">
        <f t="array" ref="Q329">IFERROR(INDEX(G:G,SMALL(IF($I$2:$I$450="ERROR", ROW($G$2:$G$450)),ROW()-1)), "")</f>
        <v/>
      </c>
      <c r="R329" s="8" t="str">
        <f t="shared" si="11"/>
        <v/>
      </c>
    </row>
    <row r="330" spans="1:18" x14ac:dyDescent="0.45">
      <c r="A330" s="3" t="s">
        <v>751</v>
      </c>
      <c r="B330" s="1" t="s">
        <v>330</v>
      </c>
      <c r="C330" s="5">
        <v>5.0000000000000001E-3</v>
      </c>
      <c r="D330" s="4">
        <v>8885</v>
      </c>
      <c r="E330" s="4">
        <v>8885</v>
      </c>
      <c r="F330" s="4">
        <v>8880</v>
      </c>
      <c r="G330" s="5">
        <v>5.6274620146314015E-4</v>
      </c>
      <c r="H330" s="6"/>
      <c r="I330" s="2" t="str">
        <f t="shared" si="10"/>
        <v>-</v>
      </c>
      <c r="J330" s="1" t="str">
        <f>IF(I330="ERROR",BeepMe(),"")</f>
        <v/>
      </c>
      <c r="M330" s="2" t="str">
        <f t="array" ref="M330">IFERROR(INDEX(I:I,SMALL(IF($I$2:$I$450="ERROR", ROW($I$2:$I$450)),ROW()-1)), "")</f>
        <v/>
      </c>
      <c r="N330" s="2" t="str">
        <f t="array" ref="N330">IFERROR(INDEX(A:A,SMALL(IF($I$2:$I$450="ERROR", ROW($A$2:$A$450)),ROW()-1)), "")</f>
        <v/>
      </c>
      <c r="O330" s="2" t="str">
        <f t="array" ref="O330">IFERROR(INDEX(B:B,SMALL(IF($I$2:$I$450="ERROR", ROW($B$2:$B$450)),ROW()-1)), "")</f>
        <v/>
      </c>
      <c r="P330" s="5" t="str">
        <f t="array" ref="P330">IFERROR(INDEX(C:C,SMALL(IF($I$2:$I$450="ERROR", ROW($C$2:$C$450)),ROW()-1)), "")</f>
        <v/>
      </c>
      <c r="Q330" s="5" t="str">
        <f t="array" ref="Q330">IFERROR(INDEX(G:G,SMALL(IF($I$2:$I$450="ERROR", ROW($G$2:$G$450)),ROW()-1)), "")</f>
        <v/>
      </c>
      <c r="R330" s="8" t="str">
        <f t="shared" si="11"/>
        <v/>
      </c>
    </row>
    <row r="331" spans="1:18" x14ac:dyDescent="0.45">
      <c r="A331" s="3" t="s">
        <v>752</v>
      </c>
      <c r="B331" s="1" t="s">
        <v>331</v>
      </c>
      <c r="C331" s="5">
        <v>5.0000000000000001E-3</v>
      </c>
      <c r="D331" s="4">
        <v>8455</v>
      </c>
      <c r="E331" s="4">
        <v>8460</v>
      </c>
      <c r="F331" s="4">
        <v>8455</v>
      </c>
      <c r="G331" s="5">
        <v>5.9136605558840927E-4</v>
      </c>
      <c r="H331" s="6"/>
      <c r="I331" s="2" t="str">
        <f t="shared" si="10"/>
        <v>-</v>
      </c>
      <c r="J331" s="1" t="str">
        <f>IF(I331="ERROR",BeepMe(),"")</f>
        <v/>
      </c>
      <c r="M331" s="2" t="str">
        <f t="array" ref="M331">IFERROR(INDEX(I:I,SMALL(IF($I$2:$I$450="ERROR", ROW($I$2:$I$450)),ROW()-1)), "")</f>
        <v/>
      </c>
      <c r="N331" s="2" t="str">
        <f t="array" ref="N331">IFERROR(INDEX(A:A,SMALL(IF($I$2:$I$450="ERROR", ROW($A$2:$A$450)),ROW()-1)), "")</f>
        <v/>
      </c>
      <c r="O331" s="2" t="str">
        <f t="array" ref="O331">IFERROR(INDEX(B:B,SMALL(IF($I$2:$I$450="ERROR", ROW($B$2:$B$450)),ROW()-1)), "")</f>
        <v/>
      </c>
      <c r="P331" s="5" t="str">
        <f t="array" ref="P331">IFERROR(INDEX(C:C,SMALL(IF($I$2:$I$450="ERROR", ROW($C$2:$C$450)),ROW()-1)), "")</f>
        <v/>
      </c>
      <c r="Q331" s="5" t="str">
        <f t="array" ref="Q331">IFERROR(INDEX(G:G,SMALL(IF($I$2:$I$450="ERROR", ROW($G$2:$G$450)),ROW()-1)), "")</f>
        <v/>
      </c>
      <c r="R331" s="8" t="str">
        <f t="shared" si="11"/>
        <v/>
      </c>
    </row>
    <row r="332" spans="1:18" x14ac:dyDescent="0.45">
      <c r="A332" s="3" t="s">
        <v>753</v>
      </c>
      <c r="B332" s="1" t="s">
        <v>332</v>
      </c>
      <c r="C332" s="5">
        <v>5.0000000000000001E-3</v>
      </c>
      <c r="D332" s="4">
        <v>12280</v>
      </c>
      <c r="E332" s="4">
        <v>12305</v>
      </c>
      <c r="F332" s="4">
        <v>12280</v>
      </c>
      <c r="G332" s="5">
        <v>2.0358306188925082E-3</v>
      </c>
      <c r="H332" s="6"/>
      <c r="I332" s="2" t="str">
        <f t="shared" si="10"/>
        <v>-</v>
      </c>
      <c r="J332" s="1" t="str">
        <f>IF(I332="ERROR",BeepMe(),"")</f>
        <v/>
      </c>
      <c r="M332" s="2" t="str">
        <f t="array" ref="M332">IFERROR(INDEX(I:I,SMALL(IF($I$2:$I$450="ERROR", ROW($I$2:$I$450)),ROW()-1)), "")</f>
        <v/>
      </c>
      <c r="N332" s="2" t="str">
        <f t="array" ref="N332">IFERROR(INDEX(A:A,SMALL(IF($I$2:$I$450="ERROR", ROW($A$2:$A$450)),ROW()-1)), "")</f>
        <v/>
      </c>
      <c r="O332" s="2" t="str">
        <f t="array" ref="O332">IFERROR(INDEX(B:B,SMALL(IF($I$2:$I$450="ERROR", ROW($B$2:$B$450)),ROW()-1)), "")</f>
        <v/>
      </c>
      <c r="P332" s="5" t="str">
        <f t="array" ref="P332">IFERROR(INDEX(C:C,SMALL(IF($I$2:$I$450="ERROR", ROW($C$2:$C$450)),ROW()-1)), "")</f>
        <v/>
      </c>
      <c r="Q332" s="5" t="str">
        <f t="array" ref="Q332">IFERROR(INDEX(G:G,SMALL(IF($I$2:$I$450="ERROR", ROW($G$2:$G$450)),ROW()-1)), "")</f>
        <v/>
      </c>
      <c r="R332" s="8" t="str">
        <f t="shared" si="11"/>
        <v/>
      </c>
    </row>
    <row r="333" spans="1:18" x14ac:dyDescent="0.45">
      <c r="A333" s="3" t="s">
        <v>754</v>
      </c>
      <c r="B333" s="1" t="s">
        <v>333</v>
      </c>
      <c r="C333" s="5">
        <v>5.0000000000000001E-3</v>
      </c>
      <c r="D333" s="4">
        <v>87925</v>
      </c>
      <c r="E333" s="4">
        <v>88010</v>
      </c>
      <c r="F333" s="4">
        <v>87930</v>
      </c>
      <c r="G333" s="5">
        <v>9.0986636337787885E-4</v>
      </c>
      <c r="H333" s="6"/>
      <c r="I333" s="2" t="str">
        <f t="shared" si="10"/>
        <v>-</v>
      </c>
      <c r="J333" s="1" t="str">
        <f>IF(I333="ERROR",BeepMe(),"")</f>
        <v/>
      </c>
      <c r="M333" s="2" t="str">
        <f t="array" ref="M333">IFERROR(INDEX(I:I,SMALL(IF($I$2:$I$450="ERROR", ROW($I$2:$I$450)),ROW()-1)), "")</f>
        <v/>
      </c>
      <c r="N333" s="2" t="str">
        <f t="array" ref="N333">IFERROR(INDEX(A:A,SMALL(IF($I$2:$I$450="ERROR", ROW($A$2:$A$450)),ROW()-1)), "")</f>
        <v/>
      </c>
      <c r="O333" s="2" t="str">
        <f t="array" ref="O333">IFERROR(INDEX(B:B,SMALL(IF($I$2:$I$450="ERROR", ROW($B$2:$B$450)),ROW()-1)), "")</f>
        <v/>
      </c>
      <c r="P333" s="5" t="str">
        <f t="array" ref="P333">IFERROR(INDEX(C:C,SMALL(IF($I$2:$I$450="ERROR", ROW($C$2:$C$450)),ROW()-1)), "")</f>
        <v/>
      </c>
      <c r="Q333" s="5" t="str">
        <f t="array" ref="Q333">IFERROR(INDEX(G:G,SMALL(IF($I$2:$I$450="ERROR", ROW($G$2:$G$450)),ROW()-1)), "")</f>
        <v/>
      </c>
      <c r="R333" s="8" t="str">
        <f t="shared" si="11"/>
        <v/>
      </c>
    </row>
    <row r="334" spans="1:18" x14ac:dyDescent="0.45">
      <c r="A334" s="3" t="s">
        <v>755</v>
      </c>
      <c r="B334" s="1" t="s">
        <v>334</v>
      </c>
      <c r="C334" s="5">
        <v>0.01</v>
      </c>
      <c r="D334" s="4">
        <v>13245</v>
      </c>
      <c r="E334" s="4">
        <v>13245</v>
      </c>
      <c r="F334" s="4">
        <v>13240</v>
      </c>
      <c r="G334" s="5">
        <v>3.7750094375235937E-4</v>
      </c>
      <c r="H334" s="6"/>
      <c r="I334" s="2" t="str">
        <f t="shared" si="10"/>
        <v>-</v>
      </c>
      <c r="J334" s="1" t="str">
        <f>IF(I334="ERROR",BeepMe(),"")</f>
        <v/>
      </c>
      <c r="M334" s="2" t="str">
        <f t="array" ref="M334">IFERROR(INDEX(I:I,SMALL(IF($I$2:$I$450="ERROR", ROW($I$2:$I$450)),ROW()-1)), "")</f>
        <v/>
      </c>
      <c r="N334" s="2" t="str">
        <f t="array" ref="N334">IFERROR(INDEX(A:A,SMALL(IF($I$2:$I$450="ERROR", ROW($A$2:$A$450)),ROW()-1)), "")</f>
        <v/>
      </c>
      <c r="O334" s="2" t="str">
        <f t="array" ref="O334">IFERROR(INDEX(B:B,SMALL(IF($I$2:$I$450="ERROR", ROW($B$2:$B$450)),ROW()-1)), "")</f>
        <v/>
      </c>
      <c r="P334" s="5" t="str">
        <f t="array" ref="P334">IFERROR(INDEX(C:C,SMALL(IF($I$2:$I$450="ERROR", ROW($C$2:$C$450)),ROW()-1)), "")</f>
        <v/>
      </c>
      <c r="Q334" s="5" t="str">
        <f t="array" ref="Q334">IFERROR(INDEX(G:G,SMALL(IF($I$2:$I$450="ERROR", ROW($G$2:$G$450)),ROW()-1)), "")</f>
        <v/>
      </c>
      <c r="R334" s="8" t="str">
        <f t="shared" si="11"/>
        <v/>
      </c>
    </row>
    <row r="335" spans="1:18" x14ac:dyDescent="0.45">
      <c r="A335" s="3" t="s">
        <v>756</v>
      </c>
      <c r="B335" s="1" t="s">
        <v>335</v>
      </c>
      <c r="C335" s="5">
        <v>5.0000000000000001E-3</v>
      </c>
      <c r="D335" s="4">
        <v>13420</v>
      </c>
      <c r="E335" s="4">
        <v>13420</v>
      </c>
      <c r="F335" s="4">
        <v>13380</v>
      </c>
      <c r="G335" s="5">
        <v>2.9806259314456036E-3</v>
      </c>
      <c r="H335" s="6"/>
      <c r="I335" s="2" t="str">
        <f t="shared" si="10"/>
        <v>-</v>
      </c>
      <c r="J335" s="1" t="str">
        <f>IF(I335="ERROR",BeepMe(),"")</f>
        <v/>
      </c>
      <c r="M335" s="2" t="str">
        <f t="array" ref="M335">IFERROR(INDEX(I:I,SMALL(IF($I$2:$I$450="ERROR", ROW($I$2:$I$450)),ROW()-1)), "")</f>
        <v/>
      </c>
      <c r="N335" s="2" t="str">
        <f t="array" ref="N335">IFERROR(INDEX(A:A,SMALL(IF($I$2:$I$450="ERROR", ROW($A$2:$A$450)),ROW()-1)), "")</f>
        <v/>
      </c>
      <c r="O335" s="2" t="str">
        <f t="array" ref="O335">IFERROR(INDEX(B:B,SMALL(IF($I$2:$I$450="ERROR", ROW($B$2:$B$450)),ROW()-1)), "")</f>
        <v/>
      </c>
      <c r="P335" s="5" t="str">
        <f t="array" ref="P335">IFERROR(INDEX(C:C,SMALL(IF($I$2:$I$450="ERROR", ROW($C$2:$C$450)),ROW()-1)), "")</f>
        <v/>
      </c>
      <c r="Q335" s="5" t="str">
        <f t="array" ref="Q335">IFERROR(INDEX(G:G,SMALL(IF($I$2:$I$450="ERROR", ROW($G$2:$G$450)),ROW()-1)), "")</f>
        <v/>
      </c>
      <c r="R335" s="8" t="str">
        <f t="shared" si="11"/>
        <v/>
      </c>
    </row>
    <row r="336" spans="1:18" x14ac:dyDescent="0.45">
      <c r="A336" s="3" t="s">
        <v>757</v>
      </c>
      <c r="B336" s="1" t="s">
        <v>336</v>
      </c>
      <c r="C336" s="5">
        <v>5.0000000000000001E-3</v>
      </c>
      <c r="D336" s="4">
        <v>9860</v>
      </c>
      <c r="E336" s="4">
        <v>9860</v>
      </c>
      <c r="F336" s="4">
        <v>9840</v>
      </c>
      <c r="G336" s="5">
        <v>2.0283975659229209E-3</v>
      </c>
      <c r="H336" s="6"/>
      <c r="I336" s="2" t="str">
        <f t="shared" si="10"/>
        <v>-</v>
      </c>
      <c r="J336" s="1" t="str">
        <f>IF(I336="ERROR",BeepMe(),"")</f>
        <v/>
      </c>
      <c r="M336" s="2" t="str">
        <f t="array" ref="M336">IFERROR(INDEX(I:I,SMALL(IF($I$2:$I$450="ERROR", ROW($I$2:$I$450)),ROW()-1)), "")</f>
        <v/>
      </c>
      <c r="N336" s="2" t="str">
        <f t="array" ref="N336">IFERROR(INDEX(A:A,SMALL(IF($I$2:$I$450="ERROR", ROW($A$2:$A$450)),ROW()-1)), "")</f>
        <v/>
      </c>
      <c r="O336" s="2" t="str">
        <f t="array" ref="O336">IFERROR(INDEX(B:B,SMALL(IF($I$2:$I$450="ERROR", ROW($B$2:$B$450)),ROW()-1)), "")</f>
        <v/>
      </c>
      <c r="P336" s="5" t="str">
        <f t="array" ref="P336">IFERROR(INDEX(C:C,SMALL(IF($I$2:$I$450="ERROR", ROW($C$2:$C$450)),ROW()-1)), "")</f>
        <v/>
      </c>
      <c r="Q336" s="5" t="str">
        <f t="array" ref="Q336">IFERROR(INDEX(G:G,SMALL(IF($I$2:$I$450="ERROR", ROW($G$2:$G$450)),ROW()-1)), "")</f>
        <v/>
      </c>
      <c r="R336" s="8" t="str">
        <f t="shared" si="11"/>
        <v/>
      </c>
    </row>
    <row r="337" spans="1:18" x14ac:dyDescent="0.45">
      <c r="A337" s="3" t="s">
        <v>758</v>
      </c>
      <c r="B337" s="1" t="s">
        <v>337</v>
      </c>
      <c r="C337" s="5">
        <v>5.0000000000000001E-3</v>
      </c>
      <c r="D337" s="4">
        <v>10200</v>
      </c>
      <c r="E337" s="4">
        <v>10200</v>
      </c>
      <c r="F337" s="4">
        <v>10190</v>
      </c>
      <c r="G337" s="5">
        <v>9.8039215686274508E-4</v>
      </c>
      <c r="H337" s="6"/>
      <c r="I337" s="2" t="str">
        <f t="shared" si="10"/>
        <v>-</v>
      </c>
      <c r="J337" s="1" t="str">
        <f>IF(I337="ERROR",BeepMe(),"")</f>
        <v/>
      </c>
      <c r="M337" s="2" t="str">
        <f t="array" ref="M337">IFERROR(INDEX(I:I,SMALL(IF($I$2:$I$450="ERROR", ROW($I$2:$I$450)),ROW()-1)), "")</f>
        <v/>
      </c>
      <c r="N337" s="2" t="str">
        <f t="array" ref="N337">IFERROR(INDEX(A:A,SMALL(IF($I$2:$I$450="ERROR", ROW($A$2:$A$450)),ROW()-1)), "")</f>
        <v/>
      </c>
      <c r="O337" s="2" t="str">
        <f t="array" ref="O337">IFERROR(INDEX(B:B,SMALL(IF($I$2:$I$450="ERROR", ROW($B$2:$B$450)),ROW()-1)), "")</f>
        <v/>
      </c>
      <c r="P337" s="5" t="str">
        <f t="array" ref="P337">IFERROR(INDEX(C:C,SMALL(IF($I$2:$I$450="ERROR", ROW($C$2:$C$450)),ROW()-1)), "")</f>
        <v/>
      </c>
      <c r="Q337" s="5" t="str">
        <f t="array" ref="Q337">IFERROR(INDEX(G:G,SMALL(IF($I$2:$I$450="ERROR", ROW($G$2:$G$450)),ROW()-1)), "")</f>
        <v/>
      </c>
      <c r="R337" s="8" t="str">
        <f t="shared" si="11"/>
        <v/>
      </c>
    </row>
    <row r="338" spans="1:18" x14ac:dyDescent="0.45">
      <c r="A338" s="3" t="s">
        <v>759</v>
      </c>
      <c r="B338" s="1" t="s">
        <v>338</v>
      </c>
      <c r="C338" s="5">
        <v>5.0000000000000001E-3</v>
      </c>
      <c r="D338" s="4">
        <v>9425</v>
      </c>
      <c r="E338" s="4">
        <v>9425</v>
      </c>
      <c r="F338" s="4">
        <v>9415</v>
      </c>
      <c r="G338" s="5">
        <v>1.0610079575596816E-3</v>
      </c>
      <c r="H338" s="6"/>
      <c r="I338" s="2" t="str">
        <f t="shared" si="10"/>
        <v>-</v>
      </c>
      <c r="J338" s="1" t="str">
        <f>IF(I338="ERROR",BeepMe(),"")</f>
        <v/>
      </c>
      <c r="M338" s="2" t="str">
        <f t="array" ref="M338">IFERROR(INDEX(I:I,SMALL(IF($I$2:$I$450="ERROR", ROW($I$2:$I$450)),ROW()-1)), "")</f>
        <v/>
      </c>
      <c r="N338" s="2" t="str">
        <f t="array" ref="N338">IFERROR(INDEX(A:A,SMALL(IF($I$2:$I$450="ERROR", ROW($A$2:$A$450)),ROW()-1)), "")</f>
        <v/>
      </c>
      <c r="O338" s="2" t="str">
        <f t="array" ref="O338">IFERROR(INDEX(B:B,SMALL(IF($I$2:$I$450="ERROR", ROW($B$2:$B$450)),ROW()-1)), "")</f>
        <v/>
      </c>
      <c r="P338" s="5" t="str">
        <f t="array" ref="P338">IFERROR(INDEX(C:C,SMALL(IF($I$2:$I$450="ERROR", ROW($C$2:$C$450)),ROW()-1)), "")</f>
        <v/>
      </c>
      <c r="Q338" s="5" t="str">
        <f t="array" ref="Q338">IFERROR(INDEX(G:G,SMALL(IF($I$2:$I$450="ERROR", ROW($G$2:$G$450)),ROW()-1)), "")</f>
        <v/>
      </c>
      <c r="R338" s="8" t="str">
        <f t="shared" si="11"/>
        <v/>
      </c>
    </row>
    <row r="339" spans="1:18" x14ac:dyDescent="0.45">
      <c r="A339" s="3" t="s">
        <v>760</v>
      </c>
      <c r="B339" s="1" t="s">
        <v>339</v>
      </c>
      <c r="C339" s="5">
        <v>5.0000000000000001E-3</v>
      </c>
      <c r="D339" s="4">
        <v>9460</v>
      </c>
      <c r="E339" s="4">
        <v>9450</v>
      </c>
      <c r="F339" s="4">
        <v>9420</v>
      </c>
      <c r="G339" s="5">
        <v>3.1712473572938688E-3</v>
      </c>
      <c r="H339" s="6"/>
      <c r="I339" s="2" t="str">
        <f t="shared" si="10"/>
        <v>-</v>
      </c>
      <c r="J339" s="1" t="str">
        <f>IF(I339="ERROR",BeepMe(),"")</f>
        <v/>
      </c>
      <c r="M339" s="2" t="str">
        <f t="array" ref="M339">IFERROR(INDEX(I:I,SMALL(IF($I$2:$I$450="ERROR", ROW($I$2:$I$450)),ROW()-1)), "")</f>
        <v/>
      </c>
      <c r="N339" s="2" t="str">
        <f t="array" ref="N339">IFERROR(INDEX(A:A,SMALL(IF($I$2:$I$450="ERROR", ROW($A$2:$A$450)),ROW()-1)), "")</f>
        <v/>
      </c>
      <c r="O339" s="2" t="str">
        <f t="array" ref="O339">IFERROR(INDEX(B:B,SMALL(IF($I$2:$I$450="ERROR", ROW($B$2:$B$450)),ROW()-1)), "")</f>
        <v/>
      </c>
      <c r="P339" s="5" t="str">
        <f t="array" ref="P339">IFERROR(INDEX(C:C,SMALL(IF($I$2:$I$450="ERROR", ROW($C$2:$C$450)),ROW()-1)), "")</f>
        <v/>
      </c>
      <c r="Q339" s="5" t="str">
        <f t="array" ref="Q339">IFERROR(INDEX(G:G,SMALL(IF($I$2:$I$450="ERROR", ROW($G$2:$G$450)),ROW()-1)), "")</f>
        <v/>
      </c>
      <c r="R339" s="8" t="str">
        <f t="shared" si="11"/>
        <v/>
      </c>
    </row>
    <row r="340" spans="1:18" x14ac:dyDescent="0.45">
      <c r="A340" s="3" t="s">
        <v>761</v>
      </c>
      <c r="B340" s="1" t="s">
        <v>340</v>
      </c>
      <c r="C340" s="5">
        <v>5.0000000000000001E-3</v>
      </c>
      <c r="D340" s="4">
        <v>11285</v>
      </c>
      <c r="E340" s="4">
        <v>11280</v>
      </c>
      <c r="F340" s="4">
        <v>11245</v>
      </c>
      <c r="G340" s="5">
        <v>3.1014621178555605E-3</v>
      </c>
      <c r="H340" s="6"/>
      <c r="I340" s="2" t="str">
        <f t="shared" si="10"/>
        <v>-</v>
      </c>
      <c r="J340" s="1" t="str">
        <f>IF(I340="ERROR",BeepMe(),"")</f>
        <v/>
      </c>
      <c r="M340" s="2" t="str">
        <f t="array" ref="M340">IFERROR(INDEX(I:I,SMALL(IF($I$2:$I$450="ERROR", ROW($I$2:$I$450)),ROW()-1)), "")</f>
        <v/>
      </c>
      <c r="N340" s="2" t="str">
        <f t="array" ref="N340">IFERROR(INDEX(A:A,SMALL(IF($I$2:$I$450="ERROR", ROW($A$2:$A$450)),ROW()-1)), "")</f>
        <v/>
      </c>
      <c r="O340" s="2" t="str">
        <f t="array" ref="O340">IFERROR(INDEX(B:B,SMALL(IF($I$2:$I$450="ERROR", ROW($B$2:$B$450)),ROW()-1)), "")</f>
        <v/>
      </c>
      <c r="P340" s="5" t="str">
        <f t="array" ref="P340">IFERROR(INDEX(C:C,SMALL(IF($I$2:$I$450="ERROR", ROW($C$2:$C$450)),ROW()-1)), "")</f>
        <v/>
      </c>
      <c r="Q340" s="5" t="str">
        <f t="array" ref="Q340">IFERROR(INDEX(G:G,SMALL(IF($I$2:$I$450="ERROR", ROW($G$2:$G$450)),ROW()-1)), "")</f>
        <v/>
      </c>
      <c r="R340" s="8" t="str">
        <f t="shared" si="11"/>
        <v/>
      </c>
    </row>
    <row r="341" spans="1:18" x14ac:dyDescent="0.45">
      <c r="A341" s="3" t="s">
        <v>762</v>
      </c>
      <c r="B341" s="1" t="s">
        <v>341</v>
      </c>
      <c r="C341" s="5">
        <v>0.01</v>
      </c>
      <c r="D341" s="4">
        <v>12855</v>
      </c>
      <c r="E341" s="4">
        <v>12855</v>
      </c>
      <c r="F341" s="4">
        <v>12850</v>
      </c>
      <c r="G341" s="5">
        <v>3.8895371450797355E-4</v>
      </c>
      <c r="H341" s="6"/>
      <c r="I341" s="2" t="str">
        <f t="shared" si="10"/>
        <v>-</v>
      </c>
      <c r="J341" s="1" t="str">
        <f>IF(I341="ERROR",BeepMe(),"")</f>
        <v/>
      </c>
      <c r="M341" s="2" t="str">
        <f t="array" ref="M341">IFERROR(INDEX(I:I,SMALL(IF($I$2:$I$450="ERROR", ROW($I$2:$I$450)),ROW()-1)), "")</f>
        <v/>
      </c>
      <c r="N341" s="2" t="str">
        <f t="array" ref="N341">IFERROR(INDEX(A:A,SMALL(IF($I$2:$I$450="ERROR", ROW($A$2:$A$450)),ROW()-1)), "")</f>
        <v/>
      </c>
      <c r="O341" s="2" t="str">
        <f t="array" ref="O341">IFERROR(INDEX(B:B,SMALL(IF($I$2:$I$450="ERROR", ROW($B$2:$B$450)),ROW()-1)), "")</f>
        <v/>
      </c>
      <c r="P341" s="5" t="str">
        <f t="array" ref="P341">IFERROR(INDEX(C:C,SMALL(IF($I$2:$I$450="ERROR", ROW($C$2:$C$450)),ROW()-1)), "")</f>
        <v/>
      </c>
      <c r="Q341" s="5" t="str">
        <f t="array" ref="Q341">IFERROR(INDEX(G:G,SMALL(IF($I$2:$I$450="ERROR", ROW($G$2:$G$450)),ROW()-1)), "")</f>
        <v/>
      </c>
      <c r="R341" s="8" t="str">
        <f t="shared" si="11"/>
        <v/>
      </c>
    </row>
    <row r="342" spans="1:18" x14ac:dyDescent="0.45">
      <c r="A342" s="3" t="s">
        <v>763</v>
      </c>
      <c r="B342" s="1" t="s">
        <v>342</v>
      </c>
      <c r="C342" s="5">
        <v>5.0000000000000001E-3</v>
      </c>
      <c r="D342" s="4">
        <v>9450</v>
      </c>
      <c r="E342" s="4">
        <v>9450</v>
      </c>
      <c r="F342" s="4">
        <v>9425</v>
      </c>
      <c r="G342" s="5">
        <v>2.6455026455026454E-3</v>
      </c>
      <c r="H342" s="6"/>
      <c r="I342" s="2" t="str">
        <f t="shared" si="10"/>
        <v>-</v>
      </c>
      <c r="J342" s="1" t="str">
        <f>IF(I342="ERROR",BeepMe(),"")</f>
        <v/>
      </c>
      <c r="M342" s="2" t="str">
        <f t="array" ref="M342">IFERROR(INDEX(I:I,SMALL(IF($I$2:$I$450="ERROR", ROW($I$2:$I$450)),ROW()-1)), "")</f>
        <v/>
      </c>
      <c r="N342" s="2" t="str">
        <f t="array" ref="N342">IFERROR(INDEX(A:A,SMALL(IF($I$2:$I$450="ERROR", ROW($A$2:$A$450)),ROW()-1)), "")</f>
        <v/>
      </c>
      <c r="O342" s="2" t="str">
        <f t="array" ref="O342">IFERROR(INDEX(B:B,SMALL(IF($I$2:$I$450="ERROR", ROW($B$2:$B$450)),ROW()-1)), "")</f>
        <v/>
      </c>
      <c r="P342" s="5" t="str">
        <f t="array" ref="P342">IFERROR(INDEX(C:C,SMALL(IF($I$2:$I$450="ERROR", ROW($C$2:$C$450)),ROW()-1)), "")</f>
        <v/>
      </c>
      <c r="Q342" s="5" t="str">
        <f t="array" ref="Q342">IFERROR(INDEX(G:G,SMALL(IF($I$2:$I$450="ERROR", ROW($G$2:$G$450)),ROW()-1)), "")</f>
        <v/>
      </c>
      <c r="R342" s="8" t="str">
        <f t="shared" si="11"/>
        <v/>
      </c>
    </row>
    <row r="343" spans="1:18" x14ac:dyDescent="0.45">
      <c r="A343" s="3" t="s">
        <v>764</v>
      </c>
      <c r="B343" s="1" t="s">
        <v>343</v>
      </c>
      <c r="C343" s="5">
        <v>0.01</v>
      </c>
      <c r="D343" s="4">
        <v>5765</v>
      </c>
      <c r="E343" s="4">
        <v>5765</v>
      </c>
      <c r="F343" s="4">
        <v>5755</v>
      </c>
      <c r="G343" s="5">
        <v>1.7346053772766695E-3</v>
      </c>
      <c r="H343" s="6"/>
      <c r="I343" s="2" t="str">
        <f t="shared" si="10"/>
        <v>-</v>
      </c>
      <c r="J343" s="1" t="str">
        <f>IF(I343="ERROR",BeepMe(),"")</f>
        <v/>
      </c>
      <c r="M343" s="2" t="str">
        <f t="array" ref="M343">IFERROR(INDEX(I:I,SMALL(IF($I$2:$I$450="ERROR", ROW($I$2:$I$450)),ROW()-1)), "")</f>
        <v/>
      </c>
      <c r="N343" s="2" t="str">
        <f t="array" ref="N343">IFERROR(INDEX(A:A,SMALL(IF($I$2:$I$450="ERROR", ROW($A$2:$A$450)),ROW()-1)), "")</f>
        <v/>
      </c>
      <c r="O343" s="2" t="str">
        <f t="array" ref="O343">IFERROR(INDEX(B:B,SMALL(IF($I$2:$I$450="ERROR", ROW($B$2:$B$450)),ROW()-1)), "")</f>
        <v/>
      </c>
      <c r="P343" s="5" t="str">
        <f t="array" ref="P343">IFERROR(INDEX(C:C,SMALL(IF($I$2:$I$450="ERROR", ROW($C$2:$C$450)),ROW()-1)), "")</f>
        <v/>
      </c>
      <c r="Q343" s="5" t="str">
        <f t="array" ref="Q343">IFERROR(INDEX(G:G,SMALL(IF($I$2:$I$450="ERROR", ROW($G$2:$G$450)),ROW()-1)), "")</f>
        <v/>
      </c>
      <c r="R343" s="8" t="str">
        <f t="shared" si="11"/>
        <v/>
      </c>
    </row>
    <row r="344" spans="1:18" x14ac:dyDescent="0.45">
      <c r="A344" s="3" t="s">
        <v>765</v>
      </c>
      <c r="B344" s="1" t="s">
        <v>344</v>
      </c>
      <c r="C344" s="5">
        <v>0.01</v>
      </c>
      <c r="D344" s="4">
        <v>5750</v>
      </c>
      <c r="E344" s="4">
        <v>5755</v>
      </c>
      <c r="F344" s="4">
        <v>5750</v>
      </c>
      <c r="G344" s="5">
        <v>8.6956521739130438E-4</v>
      </c>
      <c r="H344" s="6"/>
      <c r="I344" s="2" t="str">
        <f t="shared" si="10"/>
        <v>-</v>
      </c>
      <c r="J344" s="1" t="str">
        <f>IF(I344="ERROR",BeepMe(),"")</f>
        <v/>
      </c>
      <c r="M344" s="2" t="str">
        <f t="array" ref="M344">IFERROR(INDEX(I:I,SMALL(IF($I$2:$I$450="ERROR", ROW($I$2:$I$450)),ROW()-1)), "")</f>
        <v/>
      </c>
      <c r="N344" s="2" t="str">
        <f t="array" ref="N344">IFERROR(INDEX(A:A,SMALL(IF($I$2:$I$450="ERROR", ROW($A$2:$A$450)),ROW()-1)), "")</f>
        <v/>
      </c>
      <c r="O344" s="2" t="str">
        <f t="array" ref="O344">IFERROR(INDEX(B:B,SMALL(IF($I$2:$I$450="ERROR", ROW($B$2:$B$450)),ROW()-1)), "")</f>
        <v/>
      </c>
      <c r="P344" s="5" t="str">
        <f t="array" ref="P344">IFERROR(INDEX(C:C,SMALL(IF($I$2:$I$450="ERROR", ROW($C$2:$C$450)),ROW()-1)), "")</f>
        <v/>
      </c>
      <c r="Q344" s="5" t="str">
        <f t="array" ref="Q344">IFERROR(INDEX(G:G,SMALL(IF($I$2:$I$450="ERROR", ROW($G$2:$G$450)),ROW()-1)), "")</f>
        <v/>
      </c>
      <c r="R344" s="8" t="str">
        <f t="shared" si="11"/>
        <v/>
      </c>
    </row>
    <row r="345" spans="1:18" x14ac:dyDescent="0.45">
      <c r="A345" s="3" t="s">
        <v>766</v>
      </c>
      <c r="B345" s="1" t="s">
        <v>345</v>
      </c>
      <c r="C345" s="5">
        <v>0.01</v>
      </c>
      <c r="D345" s="4">
        <v>9440</v>
      </c>
      <c r="E345" s="4">
        <v>9440</v>
      </c>
      <c r="F345" s="4">
        <v>9430</v>
      </c>
      <c r="G345" s="5">
        <v>1.0593220338983051E-3</v>
      </c>
      <c r="H345" s="6"/>
      <c r="I345" s="2" t="str">
        <f t="shared" si="10"/>
        <v>-</v>
      </c>
      <c r="J345" s="1" t="str">
        <f>IF(I345="ERROR",BeepMe(),"")</f>
        <v/>
      </c>
      <c r="M345" s="2" t="str">
        <f t="array" ref="M345">IFERROR(INDEX(I:I,SMALL(IF($I$2:$I$450="ERROR", ROW($I$2:$I$450)),ROW()-1)), "")</f>
        <v/>
      </c>
      <c r="N345" s="2" t="str">
        <f t="array" ref="N345">IFERROR(INDEX(A:A,SMALL(IF($I$2:$I$450="ERROR", ROW($A$2:$A$450)),ROW()-1)), "")</f>
        <v/>
      </c>
      <c r="O345" s="2" t="str">
        <f t="array" ref="O345">IFERROR(INDEX(B:B,SMALL(IF($I$2:$I$450="ERROR", ROW($B$2:$B$450)),ROW()-1)), "")</f>
        <v/>
      </c>
      <c r="P345" s="5" t="str">
        <f t="array" ref="P345">IFERROR(INDEX(C:C,SMALL(IF($I$2:$I$450="ERROR", ROW($C$2:$C$450)),ROW()-1)), "")</f>
        <v/>
      </c>
      <c r="Q345" s="5" t="str">
        <f t="array" ref="Q345">IFERROR(INDEX(G:G,SMALL(IF($I$2:$I$450="ERROR", ROW($G$2:$G$450)),ROW()-1)), "")</f>
        <v/>
      </c>
      <c r="R345" s="8" t="str">
        <f t="shared" si="11"/>
        <v/>
      </c>
    </row>
    <row r="346" spans="1:18" x14ac:dyDescent="0.45">
      <c r="A346" s="3" t="s">
        <v>767</v>
      </c>
      <c r="B346" s="1" t="s">
        <v>346</v>
      </c>
      <c r="C346" s="5">
        <v>0.01</v>
      </c>
      <c r="D346" s="4">
        <v>13025</v>
      </c>
      <c r="E346" s="4">
        <v>13030</v>
      </c>
      <c r="F346" s="4">
        <v>13025</v>
      </c>
      <c r="G346" s="5">
        <v>3.8387715930902113E-4</v>
      </c>
      <c r="H346" s="6"/>
      <c r="I346" s="2" t="str">
        <f t="shared" si="10"/>
        <v>-</v>
      </c>
      <c r="J346" s="1" t="str">
        <f>IF(I346="ERROR",BeepMe(),"")</f>
        <v/>
      </c>
      <c r="M346" s="2" t="str">
        <f t="array" ref="M346">IFERROR(INDEX(I:I,SMALL(IF($I$2:$I$450="ERROR", ROW($I$2:$I$450)),ROW()-1)), "")</f>
        <v/>
      </c>
      <c r="N346" s="2" t="str">
        <f t="array" ref="N346">IFERROR(INDEX(A:A,SMALL(IF($I$2:$I$450="ERROR", ROW($A$2:$A$450)),ROW()-1)), "")</f>
        <v/>
      </c>
      <c r="O346" s="2" t="str">
        <f t="array" ref="O346">IFERROR(INDEX(B:B,SMALL(IF($I$2:$I$450="ERROR", ROW($B$2:$B$450)),ROW()-1)), "")</f>
        <v/>
      </c>
      <c r="P346" s="5" t="str">
        <f t="array" ref="P346">IFERROR(INDEX(C:C,SMALL(IF($I$2:$I$450="ERROR", ROW($C$2:$C$450)),ROW()-1)), "")</f>
        <v/>
      </c>
      <c r="Q346" s="5" t="str">
        <f t="array" ref="Q346">IFERROR(INDEX(G:G,SMALL(IF($I$2:$I$450="ERROR", ROW($G$2:$G$450)),ROW()-1)), "")</f>
        <v/>
      </c>
      <c r="R346" s="8" t="str">
        <f t="shared" si="11"/>
        <v/>
      </c>
    </row>
    <row r="347" spans="1:18" x14ac:dyDescent="0.45">
      <c r="A347" s="3" t="s">
        <v>768</v>
      </c>
      <c r="B347" s="1" t="s">
        <v>347</v>
      </c>
      <c r="C347" s="5">
        <v>0.01</v>
      </c>
      <c r="D347" s="4">
        <v>7930</v>
      </c>
      <c r="E347" s="4">
        <v>7970</v>
      </c>
      <c r="F347" s="4">
        <v>7930</v>
      </c>
      <c r="G347" s="5">
        <v>5.0441361916771753E-3</v>
      </c>
      <c r="H347" s="6"/>
      <c r="I347" s="2" t="str">
        <f t="shared" si="10"/>
        <v>-</v>
      </c>
      <c r="J347" s="1" t="str">
        <f>IF(I347="ERROR",BeepMe(),"")</f>
        <v/>
      </c>
      <c r="M347" s="2" t="str">
        <f t="array" ref="M347">IFERROR(INDEX(I:I,SMALL(IF($I$2:$I$450="ERROR", ROW($I$2:$I$450)),ROW()-1)), "")</f>
        <v/>
      </c>
      <c r="N347" s="2" t="str">
        <f t="array" ref="N347">IFERROR(INDEX(A:A,SMALL(IF($I$2:$I$450="ERROR", ROW($A$2:$A$450)),ROW()-1)), "")</f>
        <v/>
      </c>
      <c r="O347" s="2" t="str">
        <f t="array" ref="O347">IFERROR(INDEX(B:B,SMALL(IF($I$2:$I$450="ERROR", ROW($B$2:$B$450)),ROW()-1)), "")</f>
        <v/>
      </c>
      <c r="P347" s="5" t="str">
        <f t="array" ref="P347">IFERROR(INDEX(C:C,SMALL(IF($I$2:$I$450="ERROR", ROW($C$2:$C$450)),ROW()-1)), "")</f>
        <v/>
      </c>
      <c r="Q347" s="5" t="str">
        <f t="array" ref="Q347">IFERROR(INDEX(G:G,SMALL(IF($I$2:$I$450="ERROR", ROW($G$2:$G$450)),ROW()-1)), "")</f>
        <v/>
      </c>
      <c r="R347" s="8" t="str">
        <f t="shared" si="11"/>
        <v/>
      </c>
    </row>
    <row r="348" spans="1:18" x14ac:dyDescent="0.45">
      <c r="A348" s="3" t="s">
        <v>769</v>
      </c>
      <c r="B348" s="1" t="s">
        <v>348</v>
      </c>
      <c r="C348" s="5">
        <v>0.01</v>
      </c>
      <c r="D348" s="4">
        <v>5690</v>
      </c>
      <c r="E348" s="4">
        <v>5690</v>
      </c>
      <c r="F348" s="4">
        <v>5670</v>
      </c>
      <c r="G348" s="5">
        <v>3.5149384885764497E-3</v>
      </c>
      <c r="H348" s="6"/>
      <c r="I348" s="2" t="str">
        <f t="shared" si="10"/>
        <v>-</v>
      </c>
      <c r="J348" s="1" t="str">
        <f>IF(I348="ERROR",BeepMe(),"")</f>
        <v/>
      </c>
      <c r="M348" s="2" t="str">
        <f t="array" ref="M348">IFERROR(INDEX(I:I,SMALL(IF($I$2:$I$450="ERROR", ROW($I$2:$I$450)),ROW()-1)), "")</f>
        <v/>
      </c>
      <c r="N348" s="2" t="str">
        <f t="array" ref="N348">IFERROR(INDEX(A:A,SMALL(IF($I$2:$I$450="ERROR", ROW($A$2:$A$450)),ROW()-1)), "")</f>
        <v/>
      </c>
      <c r="O348" s="2" t="str">
        <f t="array" ref="O348">IFERROR(INDEX(B:B,SMALL(IF($I$2:$I$450="ERROR", ROW($B$2:$B$450)),ROW()-1)), "")</f>
        <v/>
      </c>
      <c r="P348" s="5" t="str">
        <f t="array" ref="P348">IFERROR(INDEX(C:C,SMALL(IF($I$2:$I$450="ERROR", ROW($C$2:$C$450)),ROW()-1)), "")</f>
        <v/>
      </c>
      <c r="Q348" s="5" t="str">
        <f t="array" ref="Q348">IFERROR(INDEX(G:G,SMALL(IF($I$2:$I$450="ERROR", ROW($G$2:$G$450)),ROW()-1)), "")</f>
        <v/>
      </c>
      <c r="R348" s="8" t="str">
        <f t="shared" si="11"/>
        <v/>
      </c>
    </row>
    <row r="349" spans="1:18" x14ac:dyDescent="0.45">
      <c r="A349" s="3" t="s">
        <v>770</v>
      </c>
      <c r="B349" s="1" t="s">
        <v>349</v>
      </c>
      <c r="C349" s="5">
        <v>0.01</v>
      </c>
      <c r="D349" s="4">
        <v>5805</v>
      </c>
      <c r="E349" s="4">
        <v>5805</v>
      </c>
      <c r="F349" s="4">
        <v>5800</v>
      </c>
      <c r="G349" s="5">
        <v>8.6132644272179156E-4</v>
      </c>
      <c r="H349" s="6"/>
      <c r="I349" s="2" t="str">
        <f t="shared" si="10"/>
        <v>-</v>
      </c>
      <c r="J349" s="1" t="str">
        <f>IF(I349="ERROR",BeepMe(),"")</f>
        <v/>
      </c>
      <c r="M349" s="2" t="str">
        <f t="array" ref="M349">IFERROR(INDEX(I:I,SMALL(IF($I$2:$I$450="ERROR", ROW($I$2:$I$450)),ROW()-1)), "")</f>
        <v/>
      </c>
      <c r="N349" s="2" t="str">
        <f t="array" ref="N349">IFERROR(INDEX(A:A,SMALL(IF($I$2:$I$450="ERROR", ROW($A$2:$A$450)),ROW()-1)), "")</f>
        <v/>
      </c>
      <c r="O349" s="2" t="str">
        <f t="array" ref="O349">IFERROR(INDEX(B:B,SMALL(IF($I$2:$I$450="ERROR", ROW($B$2:$B$450)),ROW()-1)), "")</f>
        <v/>
      </c>
      <c r="P349" s="5" t="str">
        <f t="array" ref="P349">IFERROR(INDEX(C:C,SMALL(IF($I$2:$I$450="ERROR", ROW($C$2:$C$450)),ROW()-1)), "")</f>
        <v/>
      </c>
      <c r="Q349" s="5" t="str">
        <f t="array" ref="Q349">IFERROR(INDEX(G:G,SMALL(IF($I$2:$I$450="ERROR", ROW($G$2:$G$450)),ROW()-1)), "")</f>
        <v/>
      </c>
      <c r="R349" s="8" t="str">
        <f t="shared" si="11"/>
        <v/>
      </c>
    </row>
    <row r="350" spans="1:18" x14ac:dyDescent="0.45">
      <c r="A350" s="3" t="s">
        <v>771</v>
      </c>
      <c r="B350" s="1" t="s">
        <v>350</v>
      </c>
      <c r="C350" s="5">
        <v>0.01</v>
      </c>
      <c r="D350" s="4">
        <v>13930</v>
      </c>
      <c r="E350" s="4">
        <v>13945</v>
      </c>
      <c r="F350" s="4">
        <v>13930</v>
      </c>
      <c r="G350" s="5">
        <v>1.0768126346015793E-3</v>
      </c>
      <c r="H350" s="6"/>
      <c r="I350" s="2" t="str">
        <f t="shared" si="10"/>
        <v>-</v>
      </c>
      <c r="J350" s="1" t="str">
        <f>IF(I350="ERROR",BeepMe(),"")</f>
        <v/>
      </c>
      <c r="M350" s="2" t="str">
        <f t="array" ref="M350">IFERROR(INDEX(I:I,SMALL(IF($I$2:$I$450="ERROR", ROW($I$2:$I$450)),ROW()-1)), "")</f>
        <v/>
      </c>
      <c r="N350" s="2" t="str">
        <f t="array" ref="N350">IFERROR(INDEX(A:A,SMALL(IF($I$2:$I$450="ERROR", ROW($A$2:$A$450)),ROW()-1)), "")</f>
        <v/>
      </c>
      <c r="O350" s="2" t="str">
        <f t="array" ref="O350">IFERROR(INDEX(B:B,SMALL(IF($I$2:$I$450="ERROR", ROW($B$2:$B$450)),ROW()-1)), "")</f>
        <v/>
      </c>
      <c r="P350" s="5" t="str">
        <f t="array" ref="P350">IFERROR(INDEX(C:C,SMALL(IF($I$2:$I$450="ERROR", ROW($C$2:$C$450)),ROW()-1)), "")</f>
        <v/>
      </c>
      <c r="Q350" s="5" t="str">
        <f t="array" ref="Q350">IFERROR(INDEX(G:G,SMALL(IF($I$2:$I$450="ERROR", ROW($G$2:$G$450)),ROW()-1)), "")</f>
        <v/>
      </c>
      <c r="R350" s="8" t="str">
        <f t="shared" si="11"/>
        <v/>
      </c>
    </row>
    <row r="351" spans="1:18" x14ac:dyDescent="0.45">
      <c r="A351" s="3" t="s">
        <v>772</v>
      </c>
      <c r="B351" s="1" t="s">
        <v>351</v>
      </c>
      <c r="C351" s="5">
        <v>5.0000000000000001E-3</v>
      </c>
      <c r="D351" s="4">
        <v>8730</v>
      </c>
      <c r="E351" s="4">
        <v>8730</v>
      </c>
      <c r="F351" s="4">
        <v>8710</v>
      </c>
      <c r="G351" s="5">
        <v>2.2909507445589921E-3</v>
      </c>
      <c r="H351" s="6"/>
      <c r="I351" s="2" t="str">
        <f t="shared" si="10"/>
        <v>-</v>
      </c>
      <c r="J351" s="1" t="str">
        <f>IF(I351="ERROR",BeepMe(),"")</f>
        <v/>
      </c>
      <c r="M351" s="2" t="str">
        <f t="array" ref="M351">IFERROR(INDEX(I:I,SMALL(IF($I$2:$I$450="ERROR", ROW($I$2:$I$450)),ROW()-1)), "")</f>
        <v/>
      </c>
      <c r="N351" s="2" t="str">
        <f t="array" ref="N351">IFERROR(INDEX(A:A,SMALL(IF($I$2:$I$450="ERROR", ROW($A$2:$A$450)),ROW()-1)), "")</f>
        <v/>
      </c>
      <c r="O351" s="2" t="str">
        <f t="array" ref="O351">IFERROR(INDEX(B:B,SMALL(IF($I$2:$I$450="ERROR", ROW($B$2:$B$450)),ROW()-1)), "")</f>
        <v/>
      </c>
      <c r="P351" s="5" t="str">
        <f t="array" ref="P351">IFERROR(INDEX(C:C,SMALL(IF($I$2:$I$450="ERROR", ROW($C$2:$C$450)),ROW()-1)), "")</f>
        <v/>
      </c>
      <c r="Q351" s="5" t="str">
        <f t="array" ref="Q351">IFERROR(INDEX(G:G,SMALL(IF($I$2:$I$450="ERROR", ROW($G$2:$G$450)),ROW()-1)), "")</f>
        <v/>
      </c>
      <c r="R351" s="8" t="str">
        <f t="shared" si="11"/>
        <v/>
      </c>
    </row>
    <row r="352" spans="1:18" x14ac:dyDescent="0.45">
      <c r="A352" s="3" t="s">
        <v>773</v>
      </c>
      <c r="B352" s="1" t="s">
        <v>352</v>
      </c>
      <c r="C352" s="5">
        <v>5.0000000000000001E-3</v>
      </c>
      <c r="D352" s="4">
        <v>8790</v>
      </c>
      <c r="E352" s="4">
        <v>8790</v>
      </c>
      <c r="F352" s="4">
        <v>8765</v>
      </c>
      <c r="G352" s="5">
        <v>2.844141069397042E-3</v>
      </c>
      <c r="H352" s="6"/>
      <c r="I352" s="2" t="str">
        <f t="shared" si="10"/>
        <v>-</v>
      </c>
      <c r="J352" s="1" t="str">
        <f>IF(I352="ERROR",BeepMe(),"")</f>
        <v/>
      </c>
      <c r="M352" s="2" t="str">
        <f t="array" ref="M352">IFERROR(INDEX(I:I,SMALL(IF($I$2:$I$450="ERROR", ROW($I$2:$I$450)),ROW()-1)), "")</f>
        <v/>
      </c>
      <c r="N352" s="2" t="str">
        <f t="array" ref="N352">IFERROR(INDEX(A:A,SMALL(IF($I$2:$I$450="ERROR", ROW($A$2:$A$450)),ROW()-1)), "")</f>
        <v/>
      </c>
      <c r="O352" s="2" t="str">
        <f t="array" ref="O352">IFERROR(INDEX(B:B,SMALL(IF($I$2:$I$450="ERROR", ROW($B$2:$B$450)),ROW()-1)), "")</f>
        <v/>
      </c>
      <c r="P352" s="5" t="str">
        <f t="array" ref="P352">IFERROR(INDEX(C:C,SMALL(IF($I$2:$I$450="ERROR", ROW($C$2:$C$450)),ROW()-1)), "")</f>
        <v/>
      </c>
      <c r="Q352" s="5" t="str">
        <f t="array" ref="Q352">IFERROR(INDEX(G:G,SMALL(IF($I$2:$I$450="ERROR", ROW($G$2:$G$450)),ROW()-1)), "")</f>
        <v/>
      </c>
      <c r="R352" s="8" t="str">
        <f t="shared" si="11"/>
        <v/>
      </c>
    </row>
    <row r="353" spans="1:18" x14ac:dyDescent="0.45">
      <c r="A353" s="3" t="s">
        <v>774</v>
      </c>
      <c r="B353" s="1" t="s">
        <v>353</v>
      </c>
      <c r="C353" s="5">
        <v>5.0000000000000001E-3</v>
      </c>
      <c r="D353" s="4">
        <v>8770</v>
      </c>
      <c r="E353" s="4">
        <v>8770</v>
      </c>
      <c r="F353" s="4">
        <v>8755</v>
      </c>
      <c r="G353" s="5">
        <v>1.7103762827822121E-3</v>
      </c>
      <c r="H353" s="6"/>
      <c r="I353" s="2" t="str">
        <f t="shared" si="10"/>
        <v>-</v>
      </c>
      <c r="J353" s="1" t="str">
        <f>IF(I353="ERROR",BeepMe(),"")</f>
        <v/>
      </c>
      <c r="M353" s="2" t="str">
        <f t="array" ref="M353">IFERROR(INDEX(I:I,SMALL(IF($I$2:$I$450="ERROR", ROW($I$2:$I$450)),ROW()-1)), "")</f>
        <v/>
      </c>
      <c r="N353" s="2" t="str">
        <f t="array" ref="N353">IFERROR(INDEX(A:A,SMALL(IF($I$2:$I$450="ERROR", ROW($A$2:$A$450)),ROW()-1)), "")</f>
        <v/>
      </c>
      <c r="O353" s="2" t="str">
        <f t="array" ref="O353">IFERROR(INDEX(B:B,SMALL(IF($I$2:$I$450="ERROR", ROW($B$2:$B$450)),ROW()-1)), "")</f>
        <v/>
      </c>
      <c r="P353" s="5" t="str">
        <f t="array" ref="P353">IFERROR(INDEX(C:C,SMALL(IF($I$2:$I$450="ERROR", ROW($C$2:$C$450)),ROW()-1)), "")</f>
        <v/>
      </c>
      <c r="Q353" s="5" t="str">
        <f t="array" ref="Q353">IFERROR(INDEX(G:G,SMALL(IF($I$2:$I$450="ERROR", ROW($G$2:$G$450)),ROW()-1)), "")</f>
        <v/>
      </c>
      <c r="R353" s="8" t="str">
        <f t="shared" si="11"/>
        <v/>
      </c>
    </row>
    <row r="354" spans="1:18" x14ac:dyDescent="0.45">
      <c r="A354" s="3" t="s">
        <v>775</v>
      </c>
      <c r="B354" s="1" t="s">
        <v>354</v>
      </c>
      <c r="C354" s="5">
        <v>0.01</v>
      </c>
      <c r="D354" s="4">
        <v>11955</v>
      </c>
      <c r="E354" s="4">
        <v>11955</v>
      </c>
      <c r="F354" s="4">
        <v>11905</v>
      </c>
      <c r="G354" s="5">
        <v>4.1823504809703057E-3</v>
      </c>
      <c r="H354" s="6"/>
      <c r="I354" s="2" t="str">
        <f t="shared" si="10"/>
        <v>-</v>
      </c>
      <c r="J354" s="1" t="str">
        <f>IF(I354="ERROR",BeepMe(),"")</f>
        <v/>
      </c>
      <c r="M354" s="2" t="str">
        <f t="array" ref="M354">IFERROR(INDEX(I:I,SMALL(IF($I$2:$I$450="ERROR", ROW($I$2:$I$450)),ROW()-1)), "")</f>
        <v/>
      </c>
      <c r="N354" s="2" t="str">
        <f t="array" ref="N354">IFERROR(INDEX(A:A,SMALL(IF($I$2:$I$450="ERROR", ROW($A$2:$A$450)),ROW()-1)), "")</f>
        <v/>
      </c>
      <c r="O354" s="2" t="str">
        <f t="array" ref="O354">IFERROR(INDEX(B:B,SMALL(IF($I$2:$I$450="ERROR", ROW($B$2:$B$450)),ROW()-1)), "")</f>
        <v/>
      </c>
      <c r="P354" s="5" t="str">
        <f t="array" ref="P354">IFERROR(INDEX(C:C,SMALL(IF($I$2:$I$450="ERROR", ROW($C$2:$C$450)),ROW()-1)), "")</f>
        <v/>
      </c>
      <c r="Q354" s="5" t="str">
        <f t="array" ref="Q354">IFERROR(INDEX(G:G,SMALL(IF($I$2:$I$450="ERROR", ROW($G$2:$G$450)),ROW()-1)), "")</f>
        <v/>
      </c>
      <c r="R354" s="8" t="str">
        <f t="shared" si="11"/>
        <v/>
      </c>
    </row>
    <row r="355" spans="1:18" x14ac:dyDescent="0.45">
      <c r="A355" s="3" t="s">
        <v>776</v>
      </c>
      <c r="B355" s="1" t="s">
        <v>355</v>
      </c>
      <c r="C355" s="5">
        <v>0.01</v>
      </c>
      <c r="D355" s="4">
        <v>9970</v>
      </c>
      <c r="E355" s="4">
        <v>9975</v>
      </c>
      <c r="F355" s="4">
        <v>9970</v>
      </c>
      <c r="G355" s="5">
        <v>5.0150451354062187E-4</v>
      </c>
      <c r="H355" s="6"/>
      <c r="I355" s="2" t="str">
        <f t="shared" si="10"/>
        <v>-</v>
      </c>
      <c r="J355" s="1" t="str">
        <f>IF(I355="ERROR",BeepMe(),"")</f>
        <v/>
      </c>
      <c r="M355" s="2" t="str">
        <f t="array" ref="M355">IFERROR(INDEX(I:I,SMALL(IF($I$2:$I$450="ERROR", ROW($I$2:$I$450)),ROW()-1)), "")</f>
        <v/>
      </c>
      <c r="N355" s="2" t="str">
        <f t="array" ref="N355">IFERROR(INDEX(A:A,SMALL(IF($I$2:$I$450="ERROR", ROW($A$2:$A$450)),ROW()-1)), "")</f>
        <v/>
      </c>
      <c r="O355" s="2" t="str">
        <f t="array" ref="O355">IFERROR(INDEX(B:B,SMALL(IF($I$2:$I$450="ERROR", ROW($B$2:$B$450)),ROW()-1)), "")</f>
        <v/>
      </c>
      <c r="P355" s="5" t="str">
        <f t="array" ref="P355">IFERROR(INDEX(C:C,SMALL(IF($I$2:$I$450="ERROR", ROW($C$2:$C$450)),ROW()-1)), "")</f>
        <v/>
      </c>
      <c r="Q355" s="5" t="str">
        <f t="array" ref="Q355">IFERROR(INDEX(G:G,SMALL(IF($I$2:$I$450="ERROR", ROW($G$2:$G$450)),ROW()-1)), "")</f>
        <v/>
      </c>
      <c r="R355" s="8" t="str">
        <f t="shared" si="11"/>
        <v/>
      </c>
    </row>
    <row r="356" spans="1:18" x14ac:dyDescent="0.45">
      <c r="A356" s="3" t="s">
        <v>777</v>
      </c>
      <c r="B356" s="1" t="s">
        <v>356</v>
      </c>
      <c r="C356" s="5">
        <v>0.01</v>
      </c>
      <c r="D356" s="4">
        <v>12005</v>
      </c>
      <c r="E356" s="4">
        <v>12005</v>
      </c>
      <c r="F356" s="4">
        <v>12000</v>
      </c>
      <c r="G356" s="5">
        <v>4.1649312786339027E-4</v>
      </c>
      <c r="H356" s="6"/>
      <c r="I356" s="2" t="str">
        <f t="shared" si="10"/>
        <v>-</v>
      </c>
      <c r="J356" s="1" t="str">
        <f>IF(I356="ERROR",BeepMe(),"")</f>
        <v/>
      </c>
      <c r="M356" s="2" t="str">
        <f t="array" ref="M356">IFERROR(INDEX(I:I,SMALL(IF($I$2:$I$450="ERROR", ROW($I$2:$I$450)),ROW()-1)), "")</f>
        <v/>
      </c>
      <c r="N356" s="2" t="str">
        <f t="array" ref="N356">IFERROR(INDEX(A:A,SMALL(IF($I$2:$I$450="ERROR", ROW($A$2:$A$450)),ROW()-1)), "")</f>
        <v/>
      </c>
      <c r="O356" s="2" t="str">
        <f t="array" ref="O356">IFERROR(INDEX(B:B,SMALL(IF($I$2:$I$450="ERROR", ROW($B$2:$B$450)),ROW()-1)), "")</f>
        <v/>
      </c>
      <c r="P356" s="5" t="str">
        <f t="array" ref="P356">IFERROR(INDEX(C:C,SMALL(IF($I$2:$I$450="ERROR", ROW($C$2:$C$450)),ROW()-1)), "")</f>
        <v/>
      </c>
      <c r="Q356" s="5" t="str">
        <f t="array" ref="Q356">IFERROR(INDEX(G:G,SMALL(IF($I$2:$I$450="ERROR", ROW($G$2:$G$450)),ROW()-1)), "")</f>
        <v/>
      </c>
      <c r="R356" s="8" t="str">
        <f t="shared" si="11"/>
        <v/>
      </c>
    </row>
    <row r="357" spans="1:18" x14ac:dyDescent="0.45">
      <c r="A357" s="3" t="s">
        <v>778</v>
      </c>
      <c r="B357" s="1" t="s">
        <v>357</v>
      </c>
      <c r="C357" s="5">
        <v>0.01</v>
      </c>
      <c r="D357" s="4">
        <v>11410</v>
      </c>
      <c r="E357" s="4">
        <v>11410</v>
      </c>
      <c r="F357" s="4">
        <v>11400</v>
      </c>
      <c r="G357" s="5">
        <v>8.7642418930762491E-4</v>
      </c>
      <c r="H357" s="6"/>
      <c r="I357" s="2" t="str">
        <f t="shared" si="10"/>
        <v>-</v>
      </c>
      <c r="J357" s="1" t="str">
        <f>IF(I357="ERROR",BeepMe(),"")</f>
        <v/>
      </c>
      <c r="M357" s="2" t="str">
        <f t="array" ref="M357">IFERROR(INDEX(I:I,SMALL(IF($I$2:$I$450="ERROR", ROW($I$2:$I$450)),ROW()-1)), "")</f>
        <v/>
      </c>
      <c r="N357" s="2" t="str">
        <f t="array" ref="N357">IFERROR(INDEX(A:A,SMALL(IF($I$2:$I$450="ERROR", ROW($A$2:$A$450)),ROW()-1)), "")</f>
        <v/>
      </c>
      <c r="O357" s="2" t="str">
        <f t="array" ref="O357">IFERROR(INDEX(B:B,SMALL(IF($I$2:$I$450="ERROR", ROW($B$2:$B$450)),ROW()-1)), "")</f>
        <v/>
      </c>
      <c r="P357" s="5" t="str">
        <f t="array" ref="P357">IFERROR(INDEX(C:C,SMALL(IF($I$2:$I$450="ERROR", ROW($C$2:$C$450)),ROW()-1)), "")</f>
        <v/>
      </c>
      <c r="Q357" s="5" t="str">
        <f t="array" ref="Q357">IFERROR(INDEX(G:G,SMALL(IF($I$2:$I$450="ERROR", ROW($G$2:$G$450)),ROW()-1)), "")</f>
        <v/>
      </c>
      <c r="R357" s="8" t="str">
        <f t="shared" si="11"/>
        <v/>
      </c>
    </row>
    <row r="358" spans="1:18" x14ac:dyDescent="0.45">
      <c r="A358" s="3" t="s">
        <v>779</v>
      </c>
      <c r="B358" s="1" t="s">
        <v>358</v>
      </c>
      <c r="C358" s="5">
        <v>0.01</v>
      </c>
      <c r="D358" s="4">
        <v>10120</v>
      </c>
      <c r="E358" s="4">
        <v>10120</v>
      </c>
      <c r="F358" s="4">
        <v>10115</v>
      </c>
      <c r="G358" s="5">
        <v>4.9407114624505926E-4</v>
      </c>
      <c r="H358" s="6"/>
      <c r="I358" s="2" t="str">
        <f t="shared" si="10"/>
        <v>-</v>
      </c>
      <c r="J358" s="1" t="str">
        <f>IF(I358="ERROR",BeepMe(),"")</f>
        <v/>
      </c>
      <c r="M358" s="2" t="str">
        <f t="array" ref="M358">IFERROR(INDEX(I:I,SMALL(IF($I$2:$I$450="ERROR", ROW($I$2:$I$450)),ROW()-1)), "")</f>
        <v/>
      </c>
      <c r="N358" s="2" t="str">
        <f t="array" ref="N358">IFERROR(INDEX(A:A,SMALL(IF($I$2:$I$450="ERROR", ROW($A$2:$A$450)),ROW()-1)), "")</f>
        <v/>
      </c>
      <c r="O358" s="2" t="str">
        <f t="array" ref="O358">IFERROR(INDEX(B:B,SMALL(IF($I$2:$I$450="ERROR", ROW($B$2:$B$450)),ROW()-1)), "")</f>
        <v/>
      </c>
      <c r="P358" s="5" t="str">
        <f t="array" ref="P358">IFERROR(INDEX(C:C,SMALL(IF($I$2:$I$450="ERROR", ROW($C$2:$C$450)),ROW()-1)), "")</f>
        <v/>
      </c>
      <c r="Q358" s="5" t="str">
        <f t="array" ref="Q358">IFERROR(INDEX(G:G,SMALL(IF($I$2:$I$450="ERROR", ROW($G$2:$G$450)),ROW()-1)), "")</f>
        <v/>
      </c>
      <c r="R358" s="8" t="str">
        <f t="shared" si="11"/>
        <v/>
      </c>
    </row>
    <row r="359" spans="1:18" x14ac:dyDescent="0.45">
      <c r="A359" s="3" t="s">
        <v>780</v>
      </c>
      <c r="B359" s="1" t="s">
        <v>359</v>
      </c>
      <c r="C359" s="5">
        <v>5.0000000000000001E-3</v>
      </c>
      <c r="D359" s="4">
        <v>8525</v>
      </c>
      <c r="E359" s="4">
        <v>8525</v>
      </c>
      <c r="F359" s="4">
        <v>8520</v>
      </c>
      <c r="G359" s="5">
        <v>5.8651026392961877E-4</v>
      </c>
      <c r="H359" s="6"/>
      <c r="I359" s="2" t="str">
        <f t="shared" si="10"/>
        <v>-</v>
      </c>
      <c r="J359" s="1" t="str">
        <f>IF(I359="ERROR",BeepMe(),"")</f>
        <v/>
      </c>
      <c r="M359" s="2" t="str">
        <f t="array" ref="M359">IFERROR(INDEX(I:I,SMALL(IF($I$2:$I$450="ERROR", ROW($I$2:$I$450)),ROW()-1)), "")</f>
        <v/>
      </c>
      <c r="N359" s="2" t="str">
        <f t="array" ref="N359">IFERROR(INDEX(A:A,SMALL(IF($I$2:$I$450="ERROR", ROW($A$2:$A$450)),ROW()-1)), "")</f>
        <v/>
      </c>
      <c r="O359" s="2" t="str">
        <f t="array" ref="O359">IFERROR(INDEX(B:B,SMALL(IF($I$2:$I$450="ERROR", ROW($B$2:$B$450)),ROW()-1)), "")</f>
        <v/>
      </c>
      <c r="P359" s="5" t="str">
        <f t="array" ref="P359">IFERROR(INDEX(C:C,SMALL(IF($I$2:$I$450="ERROR", ROW($C$2:$C$450)),ROW()-1)), "")</f>
        <v/>
      </c>
      <c r="Q359" s="5" t="str">
        <f t="array" ref="Q359">IFERROR(INDEX(G:G,SMALL(IF($I$2:$I$450="ERROR", ROW($G$2:$G$450)),ROW()-1)), "")</f>
        <v/>
      </c>
      <c r="R359" s="8" t="str">
        <f t="shared" si="11"/>
        <v/>
      </c>
    </row>
    <row r="360" spans="1:18" x14ac:dyDescent="0.45">
      <c r="A360" s="3" t="s">
        <v>781</v>
      </c>
      <c r="B360" s="1" t="s">
        <v>360</v>
      </c>
      <c r="C360" s="5">
        <v>5.0000000000000001E-3</v>
      </c>
      <c r="D360" s="4">
        <v>9665</v>
      </c>
      <c r="E360" s="4">
        <v>9665</v>
      </c>
      <c r="F360" s="4">
        <v>9640</v>
      </c>
      <c r="G360" s="5">
        <v>2.5866528711846869E-3</v>
      </c>
      <c r="H360" s="6"/>
      <c r="I360" s="2" t="str">
        <f t="shared" si="10"/>
        <v>-</v>
      </c>
      <c r="J360" s="1" t="str">
        <f>IF(I360="ERROR",BeepMe(),"")</f>
        <v/>
      </c>
      <c r="M360" s="2" t="str">
        <f t="array" ref="M360">IFERROR(INDEX(I:I,SMALL(IF($I$2:$I$450="ERROR", ROW($I$2:$I$450)),ROW()-1)), "")</f>
        <v/>
      </c>
      <c r="N360" s="2" t="str">
        <f t="array" ref="N360">IFERROR(INDEX(A:A,SMALL(IF($I$2:$I$450="ERROR", ROW($A$2:$A$450)),ROW()-1)), "")</f>
        <v/>
      </c>
      <c r="O360" s="2" t="str">
        <f t="array" ref="O360">IFERROR(INDEX(B:B,SMALL(IF($I$2:$I$450="ERROR", ROW($B$2:$B$450)),ROW()-1)), "")</f>
        <v/>
      </c>
      <c r="P360" s="5" t="str">
        <f t="array" ref="P360">IFERROR(INDEX(C:C,SMALL(IF($I$2:$I$450="ERROR", ROW($C$2:$C$450)),ROW()-1)), "")</f>
        <v/>
      </c>
      <c r="Q360" s="5" t="str">
        <f t="array" ref="Q360">IFERROR(INDEX(G:G,SMALL(IF($I$2:$I$450="ERROR", ROW($G$2:$G$450)),ROW()-1)), "")</f>
        <v/>
      </c>
      <c r="R360" s="8" t="str">
        <f t="shared" si="11"/>
        <v/>
      </c>
    </row>
    <row r="361" spans="1:18" x14ac:dyDescent="0.45">
      <c r="A361" s="3" t="s">
        <v>782</v>
      </c>
      <c r="B361" s="1" t="s">
        <v>361</v>
      </c>
      <c r="C361" s="5">
        <v>5.0000000000000001E-3</v>
      </c>
      <c r="D361" s="4">
        <v>95180</v>
      </c>
      <c r="E361" s="4">
        <v>95205</v>
      </c>
      <c r="F361" s="4">
        <v>95145</v>
      </c>
      <c r="G361" s="5">
        <v>6.303845345660853E-4</v>
      </c>
      <c r="H361" s="6"/>
      <c r="I361" s="2" t="str">
        <f t="shared" si="10"/>
        <v>-</v>
      </c>
      <c r="J361" s="1" t="str">
        <f>IF(I361="ERROR",BeepMe(),"")</f>
        <v/>
      </c>
      <c r="M361" s="2" t="str">
        <f t="array" ref="M361">IFERROR(INDEX(I:I,SMALL(IF($I$2:$I$450="ERROR", ROW($I$2:$I$450)),ROW()-1)), "")</f>
        <v/>
      </c>
      <c r="N361" s="2" t="str">
        <f t="array" ref="N361">IFERROR(INDEX(A:A,SMALL(IF($I$2:$I$450="ERROR", ROW($A$2:$A$450)),ROW()-1)), "")</f>
        <v/>
      </c>
      <c r="O361" s="2" t="str">
        <f t="array" ref="O361">IFERROR(INDEX(B:B,SMALL(IF($I$2:$I$450="ERROR", ROW($B$2:$B$450)),ROW()-1)), "")</f>
        <v/>
      </c>
      <c r="P361" s="5" t="str">
        <f t="array" ref="P361">IFERROR(INDEX(C:C,SMALL(IF($I$2:$I$450="ERROR", ROW($C$2:$C$450)),ROW()-1)), "")</f>
        <v/>
      </c>
      <c r="Q361" s="5" t="str">
        <f t="array" ref="Q361">IFERROR(INDEX(G:G,SMALL(IF($I$2:$I$450="ERROR", ROW($G$2:$G$450)),ROW()-1)), "")</f>
        <v/>
      </c>
      <c r="R361" s="8" t="str">
        <f t="shared" si="11"/>
        <v/>
      </c>
    </row>
    <row r="362" spans="1:18" x14ac:dyDescent="0.45">
      <c r="A362" s="3" t="s">
        <v>783</v>
      </c>
      <c r="B362" s="1" t="s">
        <v>362</v>
      </c>
      <c r="C362" s="5">
        <v>5.0000000000000001E-3</v>
      </c>
      <c r="D362" s="4">
        <v>100705</v>
      </c>
      <c r="E362" s="4">
        <v>100705</v>
      </c>
      <c r="F362" s="4">
        <v>100685</v>
      </c>
      <c r="G362" s="5">
        <v>1.9859987091008392E-4</v>
      </c>
      <c r="H362" s="6"/>
      <c r="I362" s="2" t="str">
        <f t="shared" si="10"/>
        <v>-</v>
      </c>
      <c r="J362" s="1" t="str">
        <f>IF(I362="ERROR",BeepMe(),"")</f>
        <v/>
      </c>
      <c r="M362" s="2" t="str">
        <f t="array" ref="M362">IFERROR(INDEX(I:I,SMALL(IF($I$2:$I$450="ERROR", ROW($I$2:$I$450)),ROW()-1)), "")</f>
        <v/>
      </c>
      <c r="N362" s="2" t="str">
        <f t="array" ref="N362">IFERROR(INDEX(A:A,SMALL(IF($I$2:$I$450="ERROR", ROW($A$2:$A$450)),ROW()-1)), "")</f>
        <v/>
      </c>
      <c r="O362" s="2" t="str">
        <f t="array" ref="O362">IFERROR(INDEX(B:B,SMALL(IF($I$2:$I$450="ERROR", ROW($B$2:$B$450)),ROW()-1)), "")</f>
        <v/>
      </c>
      <c r="P362" s="5" t="str">
        <f t="array" ref="P362">IFERROR(INDEX(C:C,SMALL(IF($I$2:$I$450="ERROR", ROW($C$2:$C$450)),ROW()-1)), "")</f>
        <v/>
      </c>
      <c r="Q362" s="5" t="str">
        <f t="array" ref="Q362">IFERROR(INDEX(G:G,SMALL(IF($I$2:$I$450="ERROR", ROW($G$2:$G$450)),ROW()-1)), "")</f>
        <v/>
      </c>
      <c r="R362" s="8" t="str">
        <f t="shared" si="11"/>
        <v/>
      </c>
    </row>
    <row r="363" spans="1:18" x14ac:dyDescent="0.45">
      <c r="A363" s="3" t="s">
        <v>784</v>
      </c>
      <c r="B363" s="1" t="s">
        <v>363</v>
      </c>
      <c r="C363" s="5">
        <v>5.0000000000000001E-3</v>
      </c>
      <c r="D363" s="4">
        <v>77830</v>
      </c>
      <c r="E363" s="4">
        <v>77830</v>
      </c>
      <c r="F363" s="4">
        <v>77715</v>
      </c>
      <c r="G363" s="5">
        <v>1.4775793395862778E-3</v>
      </c>
      <c r="H363" s="6"/>
      <c r="I363" s="2" t="str">
        <f t="shared" si="10"/>
        <v>-</v>
      </c>
      <c r="J363" s="1" t="str">
        <f>IF(I363="ERROR",BeepMe(),"")</f>
        <v/>
      </c>
      <c r="M363" s="2" t="str">
        <f t="array" ref="M363">IFERROR(INDEX(I:I,SMALL(IF($I$2:$I$450="ERROR", ROW($I$2:$I$450)),ROW()-1)), "")</f>
        <v/>
      </c>
      <c r="N363" s="2" t="str">
        <f t="array" ref="N363">IFERROR(INDEX(A:A,SMALL(IF($I$2:$I$450="ERROR", ROW($A$2:$A$450)),ROW()-1)), "")</f>
        <v/>
      </c>
      <c r="O363" s="2" t="str">
        <f t="array" ref="O363">IFERROR(INDEX(B:B,SMALL(IF($I$2:$I$450="ERROR", ROW($B$2:$B$450)),ROW()-1)), "")</f>
        <v/>
      </c>
      <c r="P363" s="5" t="str">
        <f t="array" ref="P363">IFERROR(INDEX(C:C,SMALL(IF($I$2:$I$450="ERROR", ROW($C$2:$C$450)),ROW()-1)), "")</f>
        <v/>
      </c>
      <c r="Q363" s="5" t="str">
        <f t="array" ref="Q363">IFERROR(INDEX(G:G,SMALL(IF($I$2:$I$450="ERROR", ROW($G$2:$G$450)),ROW()-1)), "")</f>
        <v/>
      </c>
      <c r="R363" s="8" t="str">
        <f t="shared" si="11"/>
        <v/>
      </c>
    </row>
    <row r="364" spans="1:18" x14ac:dyDescent="0.45">
      <c r="A364" s="3" t="s">
        <v>785</v>
      </c>
      <c r="B364" s="1" t="s">
        <v>364</v>
      </c>
      <c r="C364" s="5">
        <v>5.0000000000000001E-4</v>
      </c>
      <c r="D364" s="4">
        <v>9245</v>
      </c>
      <c r="E364" s="4">
        <v>9245</v>
      </c>
      <c r="F364" s="4">
        <v>9230</v>
      </c>
      <c r="G364" s="5">
        <v>1.6224986479177934E-3</v>
      </c>
      <c r="H364" s="6"/>
      <c r="I364" s="2" t="str">
        <f t="shared" si="10"/>
        <v>ERROR</v>
      </c>
      <c r="J364" s="1" t="str">
        <f>IF(I364="ERROR",BeepMe(),"")</f>
        <v/>
      </c>
      <c r="M364" s="2" t="str">
        <f t="array" ref="M364">IFERROR(INDEX(I:I,SMALL(IF($I$2:$I$450="ERROR", ROW($I$2:$I$450)),ROW()-1)), "")</f>
        <v/>
      </c>
      <c r="N364" s="2" t="str">
        <f t="array" ref="N364">IFERROR(INDEX(A:A,SMALL(IF($I$2:$I$450="ERROR", ROW($A$2:$A$450)),ROW()-1)), "")</f>
        <v/>
      </c>
      <c r="O364" s="2" t="str">
        <f t="array" ref="O364">IFERROR(INDEX(B:B,SMALL(IF($I$2:$I$450="ERROR", ROW($B$2:$B$450)),ROW()-1)), "")</f>
        <v/>
      </c>
      <c r="P364" s="5" t="str">
        <f t="array" ref="P364">IFERROR(INDEX(C:C,SMALL(IF($I$2:$I$450="ERROR", ROW($C$2:$C$450)),ROW()-1)), "")</f>
        <v/>
      </c>
      <c r="Q364" s="5" t="str">
        <f t="array" ref="Q364">IFERROR(INDEX(G:G,SMALL(IF($I$2:$I$450="ERROR", ROW($G$2:$G$450)),ROW()-1)), "")</f>
        <v/>
      </c>
      <c r="R364" s="8" t="str">
        <f t="shared" si="11"/>
        <v/>
      </c>
    </row>
    <row r="365" spans="1:18" x14ac:dyDescent="0.45">
      <c r="A365" s="3" t="s">
        <v>786</v>
      </c>
      <c r="B365" s="1" t="s">
        <v>365</v>
      </c>
      <c r="C365" s="5">
        <v>5.0000000000000001E-3</v>
      </c>
      <c r="D365" s="4">
        <v>9365</v>
      </c>
      <c r="E365" s="4">
        <v>9365</v>
      </c>
      <c r="F365" s="4">
        <v>9350</v>
      </c>
      <c r="G365" s="5">
        <v>1.6017084890549919E-3</v>
      </c>
      <c r="H365" s="6"/>
      <c r="I365" s="2" t="str">
        <f t="shared" si="10"/>
        <v>-</v>
      </c>
      <c r="J365" s="1" t="str">
        <f>IF(I365="ERROR",BeepMe(),"")</f>
        <v/>
      </c>
      <c r="M365" s="2" t="str">
        <f t="array" ref="M365">IFERROR(INDEX(I:I,SMALL(IF($I$2:$I$450="ERROR", ROW($I$2:$I$450)),ROW()-1)), "")</f>
        <v/>
      </c>
      <c r="N365" s="2" t="str">
        <f t="array" ref="N365">IFERROR(INDEX(A:A,SMALL(IF($I$2:$I$450="ERROR", ROW($A$2:$A$450)),ROW()-1)), "")</f>
        <v/>
      </c>
      <c r="O365" s="2" t="str">
        <f t="array" ref="O365">IFERROR(INDEX(B:B,SMALL(IF($I$2:$I$450="ERROR", ROW($B$2:$B$450)),ROW()-1)), "")</f>
        <v/>
      </c>
      <c r="P365" s="5" t="str">
        <f t="array" ref="P365">IFERROR(INDEX(C:C,SMALL(IF($I$2:$I$450="ERROR", ROW($C$2:$C$450)),ROW()-1)), "")</f>
        <v/>
      </c>
      <c r="Q365" s="5" t="str">
        <f t="array" ref="Q365">IFERROR(INDEX(G:G,SMALL(IF($I$2:$I$450="ERROR", ROW($G$2:$G$450)),ROW()-1)), "")</f>
        <v/>
      </c>
      <c r="R365" s="8" t="str">
        <f t="shared" si="11"/>
        <v/>
      </c>
    </row>
    <row r="366" spans="1:18" x14ac:dyDescent="0.45">
      <c r="A366" s="3" t="s">
        <v>787</v>
      </c>
      <c r="B366" s="1" t="s">
        <v>366</v>
      </c>
      <c r="C366" s="5">
        <v>5.0000000000000001E-3</v>
      </c>
      <c r="D366" s="4">
        <v>9665</v>
      </c>
      <c r="E366" s="4">
        <v>9665</v>
      </c>
      <c r="F366" s="4">
        <v>9650</v>
      </c>
      <c r="G366" s="5">
        <v>1.5519917227108122E-3</v>
      </c>
      <c r="H366" s="6"/>
      <c r="I366" s="2" t="str">
        <f t="shared" si="10"/>
        <v>-</v>
      </c>
      <c r="J366" s="1" t="str">
        <f>IF(I366="ERROR",BeepMe(),"")</f>
        <v/>
      </c>
      <c r="M366" s="2" t="str">
        <f t="array" ref="M366">IFERROR(INDEX(I:I,SMALL(IF($I$2:$I$450="ERROR", ROW($I$2:$I$450)),ROW()-1)), "")</f>
        <v/>
      </c>
      <c r="N366" s="2" t="str">
        <f t="array" ref="N366">IFERROR(INDEX(A:A,SMALL(IF($I$2:$I$450="ERROR", ROW($A$2:$A$450)),ROW()-1)), "")</f>
        <v/>
      </c>
      <c r="O366" s="2" t="str">
        <f t="array" ref="O366">IFERROR(INDEX(B:B,SMALL(IF($I$2:$I$450="ERROR", ROW($B$2:$B$450)),ROW()-1)), "")</f>
        <v/>
      </c>
      <c r="P366" s="5" t="str">
        <f t="array" ref="P366">IFERROR(INDEX(C:C,SMALL(IF($I$2:$I$450="ERROR", ROW($C$2:$C$450)),ROW()-1)), "")</f>
        <v/>
      </c>
      <c r="Q366" s="5" t="str">
        <f t="array" ref="Q366">IFERROR(INDEX(G:G,SMALL(IF($I$2:$I$450="ERROR", ROW($G$2:$G$450)),ROW()-1)), "")</f>
        <v/>
      </c>
      <c r="R366" s="8" t="str">
        <f t="shared" si="11"/>
        <v/>
      </c>
    </row>
    <row r="367" spans="1:18" x14ac:dyDescent="0.45">
      <c r="A367" s="3" t="s">
        <v>788</v>
      </c>
      <c r="B367" s="1" t="s">
        <v>367</v>
      </c>
      <c r="C367" s="5">
        <v>5.0000000000000001E-3</v>
      </c>
      <c r="D367" s="4">
        <v>10225</v>
      </c>
      <c r="E367" s="4">
        <v>10225</v>
      </c>
      <c r="F367" s="4">
        <v>10205</v>
      </c>
      <c r="G367" s="5">
        <v>1.9559902200488996E-3</v>
      </c>
      <c r="H367" s="6"/>
      <c r="I367" s="2" t="str">
        <f t="shared" si="10"/>
        <v>-</v>
      </c>
      <c r="J367" s="1" t="str">
        <f>IF(I367="ERROR",BeepMe(),"")</f>
        <v/>
      </c>
      <c r="M367" s="2" t="str">
        <f t="array" ref="M367">IFERROR(INDEX(I:I,SMALL(IF($I$2:$I$450="ERROR", ROW($I$2:$I$450)),ROW()-1)), "")</f>
        <v/>
      </c>
      <c r="N367" s="2" t="str">
        <f t="array" ref="N367">IFERROR(INDEX(A:A,SMALL(IF($I$2:$I$450="ERROR", ROW($A$2:$A$450)),ROW()-1)), "")</f>
        <v/>
      </c>
      <c r="O367" s="2" t="str">
        <f t="array" ref="O367">IFERROR(INDEX(B:B,SMALL(IF($I$2:$I$450="ERROR", ROW($B$2:$B$450)),ROW()-1)), "")</f>
        <v/>
      </c>
      <c r="P367" s="5" t="str">
        <f t="array" ref="P367">IFERROR(INDEX(C:C,SMALL(IF($I$2:$I$450="ERROR", ROW($C$2:$C$450)),ROW()-1)), "")</f>
        <v/>
      </c>
      <c r="Q367" s="5" t="str">
        <f t="array" ref="Q367">IFERROR(INDEX(G:G,SMALL(IF($I$2:$I$450="ERROR", ROW($G$2:$G$450)),ROW()-1)), "")</f>
        <v/>
      </c>
      <c r="R367" s="8" t="str">
        <f t="shared" si="11"/>
        <v/>
      </c>
    </row>
    <row r="368" spans="1:18" x14ac:dyDescent="0.45">
      <c r="A368" s="3" t="s">
        <v>789</v>
      </c>
      <c r="B368" s="1" t="s">
        <v>368</v>
      </c>
      <c r="C368" s="5">
        <v>5.0000000000000001E-3</v>
      </c>
      <c r="D368" s="4">
        <v>100565</v>
      </c>
      <c r="E368" s="4">
        <v>100565</v>
      </c>
      <c r="F368" s="4">
        <v>100555</v>
      </c>
      <c r="G368" s="5">
        <v>9.9438174315119568E-5</v>
      </c>
      <c r="H368" s="6"/>
      <c r="I368" s="2" t="str">
        <f t="shared" si="10"/>
        <v>-</v>
      </c>
      <c r="J368" s="1" t="str">
        <f>IF(I368="ERROR",BeepMe(),"")</f>
        <v/>
      </c>
      <c r="M368" s="2" t="str">
        <f t="array" ref="M368">IFERROR(INDEX(I:I,SMALL(IF($I$2:$I$450="ERROR", ROW($I$2:$I$450)),ROW()-1)), "")</f>
        <v/>
      </c>
      <c r="N368" s="2" t="str">
        <f t="array" ref="N368">IFERROR(INDEX(A:A,SMALL(IF($I$2:$I$450="ERROR", ROW($A$2:$A$450)),ROW()-1)), "")</f>
        <v/>
      </c>
      <c r="O368" s="2" t="str">
        <f t="array" ref="O368">IFERROR(INDEX(B:B,SMALL(IF($I$2:$I$450="ERROR", ROW($B$2:$B$450)),ROW()-1)), "")</f>
        <v/>
      </c>
      <c r="P368" s="5" t="str">
        <f t="array" ref="P368">IFERROR(INDEX(C:C,SMALL(IF($I$2:$I$450="ERROR", ROW($C$2:$C$450)),ROW()-1)), "")</f>
        <v/>
      </c>
      <c r="Q368" s="5" t="str">
        <f t="array" ref="Q368">IFERROR(INDEX(G:G,SMALL(IF($I$2:$I$450="ERROR", ROW($G$2:$G$450)),ROW()-1)), "")</f>
        <v/>
      </c>
      <c r="R368" s="8" t="str">
        <f t="shared" si="11"/>
        <v/>
      </c>
    </row>
    <row r="369" spans="1:18" x14ac:dyDescent="0.45">
      <c r="A369" s="3" t="s">
        <v>790</v>
      </c>
      <c r="B369" s="1" t="s">
        <v>369</v>
      </c>
      <c r="C369" s="5">
        <v>5.0000000000000001E-3</v>
      </c>
      <c r="D369" s="4">
        <v>8270</v>
      </c>
      <c r="E369" s="4">
        <v>8275</v>
      </c>
      <c r="F369" s="4">
        <v>8235</v>
      </c>
      <c r="G369" s="5">
        <v>4.8367593712212815E-3</v>
      </c>
      <c r="H369" s="6"/>
      <c r="I369" s="2" t="str">
        <f t="shared" si="10"/>
        <v>-</v>
      </c>
      <c r="J369" s="1" t="str">
        <f>IF(I369="ERROR",BeepMe(),"")</f>
        <v/>
      </c>
      <c r="M369" s="2" t="str">
        <f t="array" ref="M369">IFERROR(INDEX(I:I,SMALL(IF($I$2:$I$450="ERROR", ROW($I$2:$I$450)),ROW()-1)), "")</f>
        <v/>
      </c>
      <c r="N369" s="2" t="str">
        <f t="array" ref="N369">IFERROR(INDEX(A:A,SMALL(IF($I$2:$I$450="ERROR", ROW($A$2:$A$450)),ROW()-1)), "")</f>
        <v/>
      </c>
      <c r="O369" s="2" t="str">
        <f t="array" ref="O369">IFERROR(INDEX(B:B,SMALL(IF($I$2:$I$450="ERROR", ROW($B$2:$B$450)),ROW()-1)), "")</f>
        <v/>
      </c>
      <c r="P369" s="5" t="str">
        <f t="array" ref="P369">IFERROR(INDEX(C:C,SMALL(IF($I$2:$I$450="ERROR", ROW($C$2:$C$450)),ROW()-1)), "")</f>
        <v/>
      </c>
      <c r="Q369" s="5" t="str">
        <f t="array" ref="Q369">IFERROR(INDEX(G:G,SMALL(IF($I$2:$I$450="ERROR", ROW($G$2:$G$450)),ROW()-1)), "")</f>
        <v/>
      </c>
      <c r="R369" s="8" t="str">
        <f t="shared" si="11"/>
        <v/>
      </c>
    </row>
    <row r="370" spans="1:18" x14ac:dyDescent="0.45">
      <c r="A370" s="3" t="s">
        <v>791</v>
      </c>
      <c r="B370" s="1" t="s">
        <v>370</v>
      </c>
      <c r="C370" s="5">
        <v>0.01</v>
      </c>
      <c r="D370" s="4">
        <v>8310</v>
      </c>
      <c r="E370" s="4">
        <v>8350</v>
      </c>
      <c r="F370" s="4">
        <v>8310</v>
      </c>
      <c r="G370" s="5">
        <v>4.8134777376654635E-3</v>
      </c>
      <c r="H370" s="6"/>
      <c r="I370" s="2" t="str">
        <f t="shared" si="10"/>
        <v>-</v>
      </c>
      <c r="J370" s="1" t="str">
        <f>IF(I370="ERROR",BeepMe(),"")</f>
        <v/>
      </c>
      <c r="M370" s="2" t="str">
        <f t="array" ref="M370">IFERROR(INDEX(I:I,SMALL(IF($I$2:$I$450="ERROR", ROW($I$2:$I$450)),ROW()-1)), "")</f>
        <v/>
      </c>
      <c r="N370" s="2" t="str">
        <f t="array" ref="N370">IFERROR(INDEX(A:A,SMALL(IF($I$2:$I$450="ERROR", ROW($A$2:$A$450)),ROW()-1)), "")</f>
        <v/>
      </c>
      <c r="O370" s="2" t="str">
        <f t="array" ref="O370">IFERROR(INDEX(B:B,SMALL(IF($I$2:$I$450="ERROR", ROW($B$2:$B$450)),ROW()-1)), "")</f>
        <v/>
      </c>
      <c r="P370" s="5" t="str">
        <f t="array" ref="P370">IFERROR(INDEX(C:C,SMALL(IF($I$2:$I$450="ERROR", ROW($C$2:$C$450)),ROW()-1)), "")</f>
        <v/>
      </c>
      <c r="Q370" s="5" t="str">
        <f t="array" ref="Q370">IFERROR(INDEX(G:G,SMALL(IF($I$2:$I$450="ERROR", ROW($G$2:$G$450)),ROW()-1)), "")</f>
        <v/>
      </c>
      <c r="R370" s="8" t="str">
        <f t="shared" si="11"/>
        <v/>
      </c>
    </row>
    <row r="371" spans="1:18" x14ac:dyDescent="0.45">
      <c r="A371" s="3" t="s">
        <v>792</v>
      </c>
      <c r="B371" s="1" t="s">
        <v>371</v>
      </c>
      <c r="C371" s="5">
        <v>0.01</v>
      </c>
      <c r="D371" s="4">
        <v>10110</v>
      </c>
      <c r="E371" s="4">
        <v>10110</v>
      </c>
      <c r="F371" s="4">
        <v>10100</v>
      </c>
      <c r="G371" s="5">
        <v>9.8911968348170125E-4</v>
      </c>
      <c r="H371" s="6"/>
      <c r="I371" s="2" t="str">
        <f t="shared" si="10"/>
        <v>-</v>
      </c>
      <c r="J371" s="1" t="str">
        <f>IF(I371="ERROR",BeepMe(),"")</f>
        <v/>
      </c>
      <c r="M371" s="2" t="str">
        <f t="array" ref="M371">IFERROR(INDEX(I:I,SMALL(IF($I$2:$I$450="ERROR", ROW($I$2:$I$450)),ROW()-1)), "")</f>
        <v/>
      </c>
      <c r="N371" s="2" t="str">
        <f t="array" ref="N371">IFERROR(INDEX(A:A,SMALL(IF($I$2:$I$450="ERROR", ROW($A$2:$A$450)),ROW()-1)), "")</f>
        <v/>
      </c>
      <c r="O371" s="2" t="str">
        <f t="array" ref="O371">IFERROR(INDEX(B:B,SMALL(IF($I$2:$I$450="ERROR", ROW($B$2:$B$450)),ROW()-1)), "")</f>
        <v/>
      </c>
      <c r="P371" s="5" t="str">
        <f t="array" ref="P371">IFERROR(INDEX(C:C,SMALL(IF($I$2:$I$450="ERROR", ROW($C$2:$C$450)),ROW()-1)), "")</f>
        <v/>
      </c>
      <c r="Q371" s="5" t="str">
        <f t="array" ref="Q371">IFERROR(INDEX(G:G,SMALL(IF($I$2:$I$450="ERROR", ROW($G$2:$G$450)),ROW()-1)), "")</f>
        <v/>
      </c>
      <c r="R371" s="8" t="str">
        <f t="shared" si="11"/>
        <v/>
      </c>
    </row>
    <row r="372" spans="1:18" x14ac:dyDescent="0.45">
      <c r="A372" s="3" t="s">
        <v>793</v>
      </c>
      <c r="B372" s="1" t="s">
        <v>372</v>
      </c>
      <c r="C372" s="5">
        <v>0.01</v>
      </c>
      <c r="D372" s="4">
        <v>10175</v>
      </c>
      <c r="E372" s="4">
        <v>10180</v>
      </c>
      <c r="F372" s="4">
        <v>10175</v>
      </c>
      <c r="G372" s="5">
        <v>4.9140049140049139E-4</v>
      </c>
      <c r="H372" s="6"/>
      <c r="I372" s="2" t="str">
        <f t="shared" si="10"/>
        <v>-</v>
      </c>
      <c r="J372" s="1" t="str">
        <f>IF(I372="ERROR",BeepMe(),"")</f>
        <v/>
      </c>
      <c r="M372" s="2" t="str">
        <f t="array" ref="M372">IFERROR(INDEX(I:I,SMALL(IF($I$2:$I$450="ERROR", ROW($I$2:$I$450)),ROW()-1)), "")</f>
        <v/>
      </c>
      <c r="N372" s="2" t="str">
        <f t="array" ref="N372">IFERROR(INDEX(A:A,SMALL(IF($I$2:$I$450="ERROR", ROW($A$2:$A$450)),ROW()-1)), "")</f>
        <v/>
      </c>
      <c r="O372" s="2" t="str">
        <f t="array" ref="O372">IFERROR(INDEX(B:B,SMALL(IF($I$2:$I$450="ERROR", ROW($B$2:$B$450)),ROW()-1)), "")</f>
        <v/>
      </c>
      <c r="P372" s="5" t="str">
        <f t="array" ref="P372">IFERROR(INDEX(C:C,SMALL(IF($I$2:$I$450="ERROR", ROW($C$2:$C$450)),ROW()-1)), "")</f>
        <v/>
      </c>
      <c r="Q372" s="5" t="str">
        <f t="array" ref="Q372">IFERROR(INDEX(G:G,SMALL(IF($I$2:$I$450="ERROR", ROW($G$2:$G$450)),ROW()-1)), "")</f>
        <v/>
      </c>
      <c r="R372" s="8" t="str">
        <f t="shared" si="11"/>
        <v/>
      </c>
    </row>
    <row r="373" spans="1:18" x14ac:dyDescent="0.45">
      <c r="A373" s="3" t="s">
        <v>794</v>
      </c>
      <c r="B373" s="1" t="s">
        <v>373</v>
      </c>
      <c r="C373" s="5">
        <v>0.01</v>
      </c>
      <c r="D373" s="4">
        <v>10070</v>
      </c>
      <c r="E373" s="4">
        <v>10070</v>
      </c>
      <c r="F373" s="4">
        <v>10065</v>
      </c>
      <c r="G373" s="5">
        <v>4.965243296921549E-4</v>
      </c>
      <c r="H373" s="6"/>
      <c r="I373" s="2" t="str">
        <f t="shared" si="10"/>
        <v>-</v>
      </c>
      <c r="J373" s="1" t="str">
        <f>IF(I373="ERROR",BeepMe(),"")</f>
        <v/>
      </c>
      <c r="M373" s="2" t="str">
        <f t="array" ref="M373">IFERROR(INDEX(I:I,SMALL(IF($I$2:$I$450="ERROR", ROW($I$2:$I$450)),ROW()-1)), "")</f>
        <v/>
      </c>
      <c r="N373" s="2" t="str">
        <f t="array" ref="N373">IFERROR(INDEX(A:A,SMALL(IF($I$2:$I$450="ERROR", ROW($A$2:$A$450)),ROW()-1)), "")</f>
        <v/>
      </c>
      <c r="O373" s="2" t="str">
        <f t="array" ref="O373">IFERROR(INDEX(B:B,SMALL(IF($I$2:$I$450="ERROR", ROW($B$2:$B$450)),ROW()-1)), "")</f>
        <v/>
      </c>
      <c r="P373" s="5" t="str">
        <f t="array" ref="P373">IFERROR(INDEX(C:C,SMALL(IF($I$2:$I$450="ERROR", ROW($C$2:$C$450)),ROW()-1)), "")</f>
        <v/>
      </c>
      <c r="Q373" s="5" t="str">
        <f t="array" ref="Q373">IFERROR(INDEX(G:G,SMALL(IF($I$2:$I$450="ERROR", ROW($G$2:$G$450)),ROW()-1)), "")</f>
        <v/>
      </c>
      <c r="R373" s="8" t="str">
        <f t="shared" si="11"/>
        <v/>
      </c>
    </row>
    <row r="374" spans="1:18" x14ac:dyDescent="0.45">
      <c r="A374" s="3" t="s">
        <v>795</v>
      </c>
      <c r="B374" s="1" t="s">
        <v>374</v>
      </c>
      <c r="C374" s="5">
        <v>5.0000000000000001E-3</v>
      </c>
      <c r="D374" s="4">
        <v>8400</v>
      </c>
      <c r="E374" s="4">
        <v>8400</v>
      </c>
      <c r="F374" s="4">
        <v>8385</v>
      </c>
      <c r="G374" s="5">
        <v>1.7857142857142857E-3</v>
      </c>
      <c r="H374" s="6"/>
      <c r="I374" s="2" t="str">
        <f t="shared" si="10"/>
        <v>-</v>
      </c>
      <c r="J374" s="1" t="str">
        <f>IF(I374="ERROR",BeepMe(),"")</f>
        <v/>
      </c>
      <c r="M374" s="2" t="str">
        <f t="array" ref="M374">IFERROR(INDEX(I:I,SMALL(IF($I$2:$I$450="ERROR", ROW($I$2:$I$450)),ROW()-1)), "")</f>
        <v/>
      </c>
      <c r="N374" s="2" t="str">
        <f t="array" ref="N374">IFERROR(INDEX(A:A,SMALL(IF($I$2:$I$450="ERROR", ROW($A$2:$A$450)),ROW()-1)), "")</f>
        <v/>
      </c>
      <c r="O374" s="2" t="str">
        <f t="array" ref="O374">IFERROR(INDEX(B:B,SMALL(IF($I$2:$I$450="ERROR", ROW($B$2:$B$450)),ROW()-1)), "")</f>
        <v/>
      </c>
      <c r="P374" s="5" t="str">
        <f t="array" ref="P374">IFERROR(INDEX(C:C,SMALL(IF($I$2:$I$450="ERROR", ROW($C$2:$C$450)),ROW()-1)), "")</f>
        <v/>
      </c>
      <c r="Q374" s="5" t="str">
        <f t="array" ref="Q374">IFERROR(INDEX(G:G,SMALL(IF($I$2:$I$450="ERROR", ROW($G$2:$G$450)),ROW()-1)), "")</f>
        <v/>
      </c>
      <c r="R374" s="8" t="str">
        <f t="shared" si="11"/>
        <v/>
      </c>
    </row>
    <row r="375" spans="1:18" x14ac:dyDescent="0.45">
      <c r="A375" s="3" t="s">
        <v>796</v>
      </c>
      <c r="B375" s="1" t="s">
        <v>375</v>
      </c>
      <c r="C375" s="5">
        <v>5.0000000000000001E-3</v>
      </c>
      <c r="D375" s="4">
        <v>9070</v>
      </c>
      <c r="E375" s="4">
        <v>9070</v>
      </c>
      <c r="F375" s="4">
        <v>9055</v>
      </c>
      <c r="G375" s="5">
        <v>1.6538037486218302E-3</v>
      </c>
      <c r="H375" s="6"/>
      <c r="I375" s="2" t="str">
        <f t="shared" si="10"/>
        <v>-</v>
      </c>
      <c r="J375" s="1" t="str">
        <f>IF(I375="ERROR",BeepMe(),"")</f>
        <v/>
      </c>
      <c r="M375" s="2" t="str">
        <f t="array" ref="M375">IFERROR(INDEX(I:I,SMALL(IF($I$2:$I$450="ERROR", ROW($I$2:$I$450)),ROW()-1)), "")</f>
        <v/>
      </c>
      <c r="N375" s="2" t="str">
        <f t="array" ref="N375">IFERROR(INDEX(A:A,SMALL(IF($I$2:$I$450="ERROR", ROW($A$2:$A$450)),ROW()-1)), "")</f>
        <v/>
      </c>
      <c r="O375" s="2" t="str">
        <f t="array" ref="O375">IFERROR(INDEX(B:B,SMALL(IF($I$2:$I$450="ERROR", ROW($B$2:$B$450)),ROW()-1)), "")</f>
        <v/>
      </c>
      <c r="P375" s="5" t="str">
        <f t="array" ref="P375">IFERROR(INDEX(C:C,SMALL(IF($I$2:$I$450="ERROR", ROW($C$2:$C$450)),ROW()-1)), "")</f>
        <v/>
      </c>
      <c r="Q375" s="5" t="str">
        <f t="array" ref="Q375">IFERROR(INDEX(G:G,SMALL(IF($I$2:$I$450="ERROR", ROW($G$2:$G$450)),ROW()-1)), "")</f>
        <v/>
      </c>
      <c r="R375" s="8" t="str">
        <f t="shared" si="11"/>
        <v/>
      </c>
    </row>
    <row r="376" spans="1:18" x14ac:dyDescent="0.45">
      <c r="A376" s="3" t="s">
        <v>797</v>
      </c>
      <c r="B376" s="1" t="s">
        <v>376</v>
      </c>
      <c r="C376" s="5">
        <v>5.0000000000000001E-3</v>
      </c>
      <c r="D376" s="4">
        <v>7885</v>
      </c>
      <c r="E376" s="4">
        <v>7885</v>
      </c>
      <c r="F376" s="4">
        <v>7860</v>
      </c>
      <c r="G376" s="5">
        <v>3.1705770450221942E-3</v>
      </c>
      <c r="H376" s="6"/>
      <c r="I376" s="2" t="str">
        <f t="shared" si="10"/>
        <v>-</v>
      </c>
      <c r="J376" s="1" t="str">
        <f>IF(I376="ERROR",BeepMe(),"")</f>
        <v/>
      </c>
      <c r="M376" s="2" t="str">
        <f t="array" ref="M376">IFERROR(INDEX(I:I,SMALL(IF($I$2:$I$450="ERROR", ROW($I$2:$I$450)),ROW()-1)), "")</f>
        <v/>
      </c>
      <c r="N376" s="2" t="str">
        <f t="array" ref="N376">IFERROR(INDEX(A:A,SMALL(IF($I$2:$I$450="ERROR", ROW($A$2:$A$450)),ROW()-1)), "")</f>
        <v/>
      </c>
      <c r="O376" s="2" t="str">
        <f t="array" ref="O376">IFERROR(INDEX(B:B,SMALL(IF($I$2:$I$450="ERROR", ROW($B$2:$B$450)),ROW()-1)), "")</f>
        <v/>
      </c>
      <c r="P376" s="5" t="str">
        <f t="array" ref="P376">IFERROR(INDEX(C:C,SMALL(IF($I$2:$I$450="ERROR", ROW($C$2:$C$450)),ROW()-1)), "")</f>
        <v/>
      </c>
      <c r="Q376" s="5" t="str">
        <f t="array" ref="Q376">IFERROR(INDEX(G:G,SMALL(IF($I$2:$I$450="ERROR", ROW($G$2:$G$450)),ROW()-1)), "")</f>
        <v/>
      </c>
      <c r="R376" s="8" t="str">
        <f t="shared" si="11"/>
        <v/>
      </c>
    </row>
    <row r="377" spans="1:18" x14ac:dyDescent="0.45">
      <c r="A377" s="3" t="s">
        <v>798</v>
      </c>
      <c r="B377" s="1" t="s">
        <v>377</v>
      </c>
      <c r="C377" s="5">
        <v>5.0000000000000001E-3</v>
      </c>
      <c r="D377" s="4">
        <v>9380</v>
      </c>
      <c r="E377" s="4">
        <v>9380</v>
      </c>
      <c r="F377" s="4">
        <v>9355</v>
      </c>
      <c r="G377" s="5">
        <v>2.6652452025586353E-3</v>
      </c>
      <c r="H377" s="6"/>
      <c r="I377" s="2" t="str">
        <f t="shared" si="10"/>
        <v>-</v>
      </c>
      <c r="J377" s="1" t="str">
        <f>IF(I377="ERROR",BeepMe(),"")</f>
        <v/>
      </c>
      <c r="M377" s="2" t="str">
        <f t="array" ref="M377">IFERROR(INDEX(I:I,SMALL(IF($I$2:$I$450="ERROR", ROW($I$2:$I$450)),ROW()-1)), "")</f>
        <v/>
      </c>
      <c r="N377" s="2" t="str">
        <f t="array" ref="N377">IFERROR(INDEX(A:A,SMALL(IF($I$2:$I$450="ERROR", ROW($A$2:$A$450)),ROW()-1)), "")</f>
        <v/>
      </c>
      <c r="O377" s="2" t="str">
        <f t="array" ref="O377">IFERROR(INDEX(B:B,SMALL(IF($I$2:$I$450="ERROR", ROW($B$2:$B$450)),ROW()-1)), "")</f>
        <v/>
      </c>
      <c r="P377" s="5" t="str">
        <f t="array" ref="P377">IFERROR(INDEX(C:C,SMALL(IF($I$2:$I$450="ERROR", ROW($C$2:$C$450)),ROW()-1)), "")</f>
        <v/>
      </c>
      <c r="Q377" s="5" t="str">
        <f t="array" ref="Q377">IFERROR(INDEX(G:G,SMALL(IF($I$2:$I$450="ERROR", ROW($G$2:$G$450)),ROW()-1)), "")</f>
        <v/>
      </c>
      <c r="R377" s="8" t="str">
        <f t="shared" si="11"/>
        <v/>
      </c>
    </row>
    <row r="378" spans="1:18" x14ac:dyDescent="0.45">
      <c r="A378" s="3" t="s">
        <v>799</v>
      </c>
      <c r="B378" s="1" t="s">
        <v>378</v>
      </c>
      <c r="C378" s="5">
        <v>5.0000000000000001E-3</v>
      </c>
      <c r="D378" s="4">
        <v>7285</v>
      </c>
      <c r="E378" s="4">
        <v>7285</v>
      </c>
      <c r="F378" s="4">
        <v>7275</v>
      </c>
      <c r="G378" s="5">
        <v>1.3726835964310226E-3</v>
      </c>
      <c r="H378" s="6"/>
      <c r="I378" s="2" t="str">
        <f t="shared" si="10"/>
        <v>-</v>
      </c>
      <c r="J378" s="1" t="str">
        <f>IF(I378="ERROR",BeepMe(),"")</f>
        <v/>
      </c>
      <c r="M378" s="2" t="str">
        <f t="array" ref="M378">IFERROR(INDEX(I:I,SMALL(IF($I$2:$I$450="ERROR", ROW($I$2:$I$450)),ROW()-1)), "")</f>
        <v/>
      </c>
      <c r="N378" s="2" t="str">
        <f t="array" ref="N378">IFERROR(INDEX(A:A,SMALL(IF($I$2:$I$450="ERROR", ROW($A$2:$A$450)),ROW()-1)), "")</f>
        <v/>
      </c>
      <c r="O378" s="2" t="str">
        <f t="array" ref="O378">IFERROR(INDEX(B:B,SMALL(IF($I$2:$I$450="ERROR", ROW($B$2:$B$450)),ROW()-1)), "")</f>
        <v/>
      </c>
      <c r="P378" s="5" t="str">
        <f t="array" ref="P378">IFERROR(INDEX(C:C,SMALL(IF($I$2:$I$450="ERROR", ROW($C$2:$C$450)),ROW()-1)), "")</f>
        <v/>
      </c>
      <c r="Q378" s="5" t="str">
        <f t="array" ref="Q378">IFERROR(INDEX(G:G,SMALL(IF($I$2:$I$450="ERROR", ROW($G$2:$G$450)),ROW()-1)), "")</f>
        <v/>
      </c>
      <c r="R378" s="8" t="str">
        <f t="shared" si="11"/>
        <v/>
      </c>
    </row>
    <row r="379" spans="1:18" x14ac:dyDescent="0.45">
      <c r="A379" s="3" t="s">
        <v>800</v>
      </c>
      <c r="B379" s="1" t="s">
        <v>379</v>
      </c>
      <c r="C379" s="5">
        <v>5.0000000000000001E-3</v>
      </c>
      <c r="D379" s="4">
        <v>10360</v>
      </c>
      <c r="E379" s="4">
        <v>10360</v>
      </c>
      <c r="F379" s="4">
        <v>10335</v>
      </c>
      <c r="G379" s="5">
        <v>2.4131274131274131E-3</v>
      </c>
      <c r="H379" s="6"/>
      <c r="I379" s="2" t="str">
        <f t="shared" si="10"/>
        <v>-</v>
      </c>
      <c r="J379" s="1" t="str">
        <f>IF(I379="ERROR",BeepMe(),"")</f>
        <v/>
      </c>
      <c r="M379" s="2" t="str">
        <f t="array" ref="M379">IFERROR(INDEX(I:I,SMALL(IF($I$2:$I$450="ERROR", ROW($I$2:$I$450)),ROW()-1)), "")</f>
        <v/>
      </c>
      <c r="N379" s="2" t="str">
        <f t="array" ref="N379">IFERROR(INDEX(A:A,SMALL(IF($I$2:$I$450="ERROR", ROW($A$2:$A$450)),ROW()-1)), "")</f>
        <v/>
      </c>
      <c r="O379" s="2" t="str">
        <f t="array" ref="O379">IFERROR(INDEX(B:B,SMALL(IF($I$2:$I$450="ERROR", ROW($B$2:$B$450)),ROW()-1)), "")</f>
        <v/>
      </c>
      <c r="P379" s="5" t="str">
        <f t="array" ref="P379">IFERROR(INDEX(C:C,SMALL(IF($I$2:$I$450="ERROR", ROW($C$2:$C$450)),ROW()-1)), "")</f>
        <v/>
      </c>
      <c r="Q379" s="5" t="str">
        <f t="array" ref="Q379">IFERROR(INDEX(G:G,SMALL(IF($I$2:$I$450="ERROR", ROW($G$2:$G$450)),ROW()-1)), "")</f>
        <v/>
      </c>
      <c r="R379" s="8" t="str">
        <f t="shared" si="11"/>
        <v/>
      </c>
    </row>
    <row r="380" spans="1:18" x14ac:dyDescent="0.45">
      <c r="A380" s="3" t="s">
        <v>801</v>
      </c>
      <c r="B380" s="1" t="s">
        <v>380</v>
      </c>
      <c r="C380" s="5">
        <v>5.0000000000000001E-3</v>
      </c>
      <c r="D380" s="4">
        <v>8790</v>
      </c>
      <c r="E380" s="4">
        <v>8790</v>
      </c>
      <c r="F380" s="4">
        <v>8760</v>
      </c>
      <c r="G380" s="5">
        <v>3.4129692832764505E-3</v>
      </c>
      <c r="H380" s="6"/>
      <c r="I380" s="2" t="str">
        <f t="shared" si="10"/>
        <v>-</v>
      </c>
      <c r="J380" s="1" t="str">
        <f>IF(I380="ERROR",BeepMe(),"")</f>
        <v/>
      </c>
      <c r="M380" s="2" t="str">
        <f t="array" ref="M380">IFERROR(INDEX(I:I,SMALL(IF($I$2:$I$450="ERROR", ROW($I$2:$I$450)),ROW()-1)), "")</f>
        <v/>
      </c>
      <c r="N380" s="2" t="str">
        <f t="array" ref="N380">IFERROR(INDEX(A:A,SMALL(IF($I$2:$I$450="ERROR", ROW($A$2:$A$450)),ROW()-1)), "")</f>
        <v/>
      </c>
      <c r="O380" s="2" t="str">
        <f t="array" ref="O380">IFERROR(INDEX(B:B,SMALL(IF($I$2:$I$450="ERROR", ROW($B$2:$B$450)),ROW()-1)), "")</f>
        <v/>
      </c>
      <c r="P380" s="5" t="str">
        <f t="array" ref="P380">IFERROR(INDEX(C:C,SMALL(IF($I$2:$I$450="ERROR", ROW($C$2:$C$450)),ROW()-1)), "")</f>
        <v/>
      </c>
      <c r="Q380" s="5" t="str">
        <f t="array" ref="Q380">IFERROR(INDEX(G:G,SMALL(IF($I$2:$I$450="ERROR", ROW($G$2:$G$450)),ROW()-1)), "")</f>
        <v/>
      </c>
      <c r="R380" s="8" t="str">
        <f t="shared" si="11"/>
        <v/>
      </c>
    </row>
    <row r="381" spans="1:18" x14ac:dyDescent="0.45">
      <c r="A381" s="3" t="s">
        <v>802</v>
      </c>
      <c r="B381" s="1" t="s">
        <v>381</v>
      </c>
      <c r="C381" s="5">
        <v>5.0000000000000001E-3</v>
      </c>
      <c r="D381" s="4">
        <v>8680</v>
      </c>
      <c r="E381" s="4">
        <v>8680</v>
      </c>
      <c r="F381" s="4">
        <v>8665</v>
      </c>
      <c r="G381" s="5">
        <v>1.7281105990783411E-3</v>
      </c>
      <c r="H381" s="6"/>
      <c r="I381" s="2" t="str">
        <f t="shared" si="10"/>
        <v>-</v>
      </c>
      <c r="J381" s="1" t="str">
        <f>IF(I381="ERROR",BeepMe(),"")</f>
        <v/>
      </c>
      <c r="M381" s="2" t="str">
        <f t="array" ref="M381">IFERROR(INDEX(I:I,SMALL(IF($I$2:$I$450="ERROR", ROW($I$2:$I$450)),ROW()-1)), "")</f>
        <v/>
      </c>
      <c r="N381" s="2" t="str">
        <f t="array" ref="N381">IFERROR(INDEX(A:A,SMALL(IF($I$2:$I$450="ERROR", ROW($A$2:$A$450)),ROW()-1)), "")</f>
        <v/>
      </c>
      <c r="O381" s="2" t="str">
        <f t="array" ref="O381">IFERROR(INDEX(B:B,SMALL(IF($I$2:$I$450="ERROR", ROW($B$2:$B$450)),ROW()-1)), "")</f>
        <v/>
      </c>
      <c r="P381" s="5" t="str">
        <f t="array" ref="P381">IFERROR(INDEX(C:C,SMALL(IF($I$2:$I$450="ERROR", ROW($C$2:$C$450)),ROW()-1)), "")</f>
        <v/>
      </c>
      <c r="Q381" s="5" t="str">
        <f t="array" ref="Q381">IFERROR(INDEX(G:G,SMALL(IF($I$2:$I$450="ERROR", ROW($G$2:$G$450)),ROW()-1)), "")</f>
        <v/>
      </c>
      <c r="R381" s="8" t="str">
        <f t="shared" si="11"/>
        <v/>
      </c>
    </row>
    <row r="382" spans="1:18" x14ac:dyDescent="0.45">
      <c r="A382" s="3" t="s">
        <v>803</v>
      </c>
      <c r="B382" s="1" t="s">
        <v>382</v>
      </c>
      <c r="C382" s="5">
        <v>5.0000000000000001E-3</v>
      </c>
      <c r="D382" s="4">
        <v>8970</v>
      </c>
      <c r="E382" s="4">
        <v>8970</v>
      </c>
      <c r="F382" s="4">
        <v>8965</v>
      </c>
      <c r="G382" s="5">
        <v>5.5741360089186175E-4</v>
      </c>
      <c r="H382" s="6"/>
      <c r="I382" s="2" t="str">
        <f t="shared" si="10"/>
        <v>-</v>
      </c>
      <c r="J382" s="1" t="str">
        <f>IF(I382="ERROR",BeepMe(),"")</f>
        <v/>
      </c>
      <c r="M382" s="2" t="str">
        <f t="array" ref="M382">IFERROR(INDEX(I:I,SMALL(IF($I$2:$I$450="ERROR", ROW($I$2:$I$450)),ROW()-1)), "")</f>
        <v/>
      </c>
      <c r="N382" s="2" t="str">
        <f t="array" ref="N382">IFERROR(INDEX(A:A,SMALL(IF($I$2:$I$450="ERROR", ROW($A$2:$A$450)),ROW()-1)), "")</f>
        <v/>
      </c>
      <c r="O382" s="2" t="str">
        <f t="array" ref="O382">IFERROR(INDEX(B:B,SMALL(IF($I$2:$I$450="ERROR", ROW($B$2:$B$450)),ROW()-1)), "")</f>
        <v/>
      </c>
      <c r="P382" s="5" t="str">
        <f t="array" ref="P382">IFERROR(INDEX(C:C,SMALL(IF($I$2:$I$450="ERROR", ROW($C$2:$C$450)),ROW()-1)), "")</f>
        <v/>
      </c>
      <c r="Q382" s="5" t="str">
        <f t="array" ref="Q382">IFERROR(INDEX(G:G,SMALL(IF($I$2:$I$450="ERROR", ROW($G$2:$G$450)),ROW()-1)), "")</f>
        <v/>
      </c>
      <c r="R382" s="8" t="str">
        <f t="shared" si="11"/>
        <v/>
      </c>
    </row>
    <row r="383" spans="1:18" x14ac:dyDescent="0.45">
      <c r="A383" s="3" t="s">
        <v>804</v>
      </c>
      <c r="B383" s="1" t="s">
        <v>383</v>
      </c>
      <c r="C383" s="5">
        <v>5.0000000000000001E-3</v>
      </c>
      <c r="D383" s="4">
        <v>8970</v>
      </c>
      <c r="E383" s="4">
        <v>8970</v>
      </c>
      <c r="F383" s="4">
        <v>8960</v>
      </c>
      <c r="G383" s="5">
        <v>1.1148272017837235E-3</v>
      </c>
      <c r="H383" s="6"/>
      <c r="I383" s="2" t="str">
        <f t="shared" si="10"/>
        <v>-</v>
      </c>
      <c r="J383" s="1" t="str">
        <f>IF(I383="ERROR",BeepMe(),"")</f>
        <v/>
      </c>
      <c r="M383" s="2" t="str">
        <f t="array" ref="M383">IFERROR(INDEX(I:I,SMALL(IF($I$2:$I$450="ERROR", ROW($I$2:$I$450)),ROW()-1)), "")</f>
        <v/>
      </c>
      <c r="N383" s="2" t="str">
        <f t="array" ref="N383">IFERROR(INDEX(A:A,SMALL(IF($I$2:$I$450="ERROR", ROW($A$2:$A$450)),ROW()-1)), "")</f>
        <v/>
      </c>
      <c r="O383" s="2" t="str">
        <f t="array" ref="O383">IFERROR(INDEX(B:B,SMALL(IF($I$2:$I$450="ERROR", ROW($B$2:$B$450)),ROW()-1)), "")</f>
        <v/>
      </c>
      <c r="P383" s="5" t="str">
        <f t="array" ref="P383">IFERROR(INDEX(C:C,SMALL(IF($I$2:$I$450="ERROR", ROW($C$2:$C$450)),ROW()-1)), "")</f>
        <v/>
      </c>
      <c r="Q383" s="5" t="str">
        <f t="array" ref="Q383">IFERROR(INDEX(G:G,SMALL(IF($I$2:$I$450="ERROR", ROW($G$2:$G$450)),ROW()-1)), "")</f>
        <v/>
      </c>
      <c r="R383" s="8" t="str">
        <f t="shared" si="11"/>
        <v/>
      </c>
    </row>
    <row r="384" spans="1:18" x14ac:dyDescent="0.45">
      <c r="A384" s="3" t="s">
        <v>805</v>
      </c>
      <c r="B384" s="1" t="s">
        <v>384</v>
      </c>
      <c r="C384" s="5">
        <v>5.0000000000000001E-3</v>
      </c>
      <c r="D384" s="4">
        <v>7130</v>
      </c>
      <c r="E384" s="4">
        <v>7130</v>
      </c>
      <c r="F384" s="4">
        <v>7100</v>
      </c>
      <c r="G384" s="5">
        <v>4.2075736325385693E-3</v>
      </c>
      <c r="H384" s="6"/>
      <c r="I384" s="2" t="str">
        <f t="shared" si="10"/>
        <v>-</v>
      </c>
      <c r="J384" s="1" t="str">
        <f>IF(I384="ERROR",BeepMe(),"")</f>
        <v/>
      </c>
      <c r="M384" s="2" t="str">
        <f t="array" ref="M384">IFERROR(INDEX(I:I,SMALL(IF($I$2:$I$450="ERROR", ROW($I$2:$I$450)),ROW()-1)), "")</f>
        <v/>
      </c>
      <c r="N384" s="2" t="str">
        <f t="array" ref="N384">IFERROR(INDEX(A:A,SMALL(IF($I$2:$I$450="ERROR", ROW($A$2:$A$450)),ROW()-1)), "")</f>
        <v/>
      </c>
      <c r="O384" s="2" t="str">
        <f t="array" ref="O384">IFERROR(INDEX(B:B,SMALL(IF($I$2:$I$450="ERROR", ROW($B$2:$B$450)),ROW()-1)), "")</f>
        <v/>
      </c>
      <c r="P384" s="5" t="str">
        <f t="array" ref="P384">IFERROR(INDEX(C:C,SMALL(IF($I$2:$I$450="ERROR", ROW($C$2:$C$450)),ROW()-1)), "")</f>
        <v/>
      </c>
      <c r="Q384" s="5" t="str">
        <f t="array" ref="Q384">IFERROR(INDEX(G:G,SMALL(IF($I$2:$I$450="ERROR", ROW($G$2:$G$450)),ROW()-1)), "")</f>
        <v/>
      </c>
      <c r="R384" s="8" t="str">
        <f t="shared" si="11"/>
        <v/>
      </c>
    </row>
    <row r="385" spans="1:18" x14ac:dyDescent="0.45">
      <c r="A385" s="3" t="s">
        <v>806</v>
      </c>
      <c r="B385" s="1" t="s">
        <v>385</v>
      </c>
      <c r="C385" s="5">
        <v>5.0000000000000001E-3</v>
      </c>
      <c r="D385" s="4">
        <v>53100</v>
      </c>
      <c r="E385" s="4">
        <v>53080</v>
      </c>
      <c r="F385" s="4">
        <v>53030</v>
      </c>
      <c r="G385" s="5">
        <v>9.4161958568738226E-4</v>
      </c>
      <c r="H385" s="6"/>
      <c r="I385" s="2" t="str">
        <f t="shared" si="10"/>
        <v>-</v>
      </c>
      <c r="J385" s="1" t="str">
        <f>IF(I385="ERROR",BeepMe(),"")</f>
        <v/>
      </c>
      <c r="M385" s="2" t="str">
        <f t="array" ref="M385">IFERROR(INDEX(I:I,SMALL(IF($I$2:$I$450="ERROR", ROW($I$2:$I$450)),ROW()-1)), "")</f>
        <v/>
      </c>
      <c r="N385" s="2" t="str">
        <f t="array" ref="N385">IFERROR(INDEX(A:A,SMALL(IF($I$2:$I$450="ERROR", ROW($A$2:$A$450)),ROW()-1)), "")</f>
        <v/>
      </c>
      <c r="O385" s="2" t="str">
        <f t="array" ref="O385">IFERROR(INDEX(B:B,SMALL(IF($I$2:$I$450="ERROR", ROW($B$2:$B$450)),ROW()-1)), "")</f>
        <v/>
      </c>
      <c r="P385" s="5" t="str">
        <f t="array" ref="P385">IFERROR(INDEX(C:C,SMALL(IF($I$2:$I$450="ERROR", ROW($C$2:$C$450)),ROW()-1)), "")</f>
        <v/>
      </c>
      <c r="Q385" s="5" t="str">
        <f t="array" ref="Q385">IFERROR(INDEX(G:G,SMALL(IF($I$2:$I$450="ERROR", ROW($G$2:$G$450)),ROW()-1)), "")</f>
        <v/>
      </c>
      <c r="R385" s="8" t="str">
        <f t="shared" si="11"/>
        <v/>
      </c>
    </row>
    <row r="386" spans="1:18" x14ac:dyDescent="0.45">
      <c r="A386" s="3" t="s">
        <v>807</v>
      </c>
      <c r="B386" s="1" t="s">
        <v>386</v>
      </c>
      <c r="C386" s="5">
        <v>5.0000000000000001E-3</v>
      </c>
      <c r="D386" s="4">
        <v>47410</v>
      </c>
      <c r="E386" s="4">
        <v>47425</v>
      </c>
      <c r="F386" s="4">
        <v>47390</v>
      </c>
      <c r="G386" s="5">
        <v>7.3824087745201429E-4</v>
      </c>
      <c r="H386" s="6"/>
      <c r="I386" s="2" t="str">
        <f t="shared" si="10"/>
        <v>-</v>
      </c>
      <c r="J386" s="1" t="str">
        <f>IF(I386="ERROR",BeepMe(),"")</f>
        <v/>
      </c>
      <c r="M386" s="2" t="str">
        <f t="array" ref="M386">IFERROR(INDEX(I:I,SMALL(IF($I$2:$I$450="ERROR", ROW($I$2:$I$450)),ROW()-1)), "")</f>
        <v/>
      </c>
      <c r="N386" s="2" t="str">
        <f t="array" ref="N386">IFERROR(INDEX(A:A,SMALL(IF($I$2:$I$450="ERROR", ROW($A$2:$A$450)),ROW()-1)), "")</f>
        <v/>
      </c>
      <c r="O386" s="2" t="str">
        <f t="array" ref="O386">IFERROR(INDEX(B:B,SMALL(IF($I$2:$I$450="ERROR", ROW($B$2:$B$450)),ROW()-1)), "")</f>
        <v/>
      </c>
      <c r="P386" s="5" t="str">
        <f t="array" ref="P386">IFERROR(INDEX(C:C,SMALL(IF($I$2:$I$450="ERROR", ROW($C$2:$C$450)),ROW()-1)), "")</f>
        <v/>
      </c>
      <c r="Q386" s="5" t="str">
        <f t="array" ref="Q386">IFERROR(INDEX(G:G,SMALL(IF($I$2:$I$450="ERROR", ROW($G$2:$G$450)),ROW()-1)), "")</f>
        <v/>
      </c>
      <c r="R386" s="8" t="str">
        <f t="shared" si="11"/>
        <v/>
      </c>
    </row>
    <row r="387" spans="1:18" x14ac:dyDescent="0.45">
      <c r="A387" s="3" t="s">
        <v>808</v>
      </c>
      <c r="B387" s="1" t="s">
        <v>387</v>
      </c>
      <c r="C387" s="5">
        <v>0.01</v>
      </c>
      <c r="D387" s="4">
        <v>10610</v>
      </c>
      <c r="E387" s="4">
        <v>10610</v>
      </c>
      <c r="F387" s="4">
        <v>10600</v>
      </c>
      <c r="G387" s="5">
        <v>9.42507068803016E-4</v>
      </c>
      <c r="H387" s="6"/>
      <c r="I387" s="2" t="str">
        <f t="shared" ref="I387:I419" si="12">IF(G387&gt;C387, "ERROR", "-")</f>
        <v>-</v>
      </c>
      <c r="J387" s="1" t="str">
        <f>IF(I387="ERROR",BeepMe(),"")</f>
        <v/>
      </c>
      <c r="M387" s="2" t="str">
        <f t="array" ref="M387">IFERROR(INDEX(I:I,SMALL(IF($I$2:$I$450="ERROR", ROW($I$2:$I$450)),ROW()-1)), "")</f>
        <v/>
      </c>
      <c r="N387" s="2" t="str">
        <f t="array" ref="N387">IFERROR(INDEX(A:A,SMALL(IF($I$2:$I$450="ERROR", ROW($A$2:$A$450)),ROW()-1)), "")</f>
        <v/>
      </c>
      <c r="O387" s="2" t="str">
        <f t="array" ref="O387">IFERROR(INDEX(B:B,SMALL(IF($I$2:$I$450="ERROR", ROW($B$2:$B$450)),ROW()-1)), "")</f>
        <v/>
      </c>
      <c r="P387" s="5" t="str">
        <f t="array" ref="P387">IFERROR(INDEX(C:C,SMALL(IF($I$2:$I$450="ERROR", ROW($C$2:$C$450)),ROW()-1)), "")</f>
        <v/>
      </c>
      <c r="Q387" s="5" t="str">
        <f t="array" ref="Q387">IFERROR(INDEX(G:G,SMALL(IF($I$2:$I$450="ERROR", ROW($G$2:$G$450)),ROW()-1)), "")</f>
        <v/>
      </c>
      <c r="R387" s="8" t="str">
        <f t="shared" ref="R387:R419" si="13">IFERROR(Q387-P387,"")</f>
        <v/>
      </c>
    </row>
    <row r="388" spans="1:18" x14ac:dyDescent="0.45">
      <c r="A388" s="3" t="s">
        <v>809</v>
      </c>
      <c r="B388" s="1" t="s">
        <v>388</v>
      </c>
      <c r="C388" s="5">
        <v>0.01</v>
      </c>
      <c r="D388" s="4">
        <v>9290</v>
      </c>
      <c r="E388" s="4">
        <v>9345</v>
      </c>
      <c r="F388" s="4">
        <v>9290</v>
      </c>
      <c r="G388" s="5">
        <v>5.9203444564047362E-3</v>
      </c>
      <c r="H388" s="6"/>
      <c r="I388" s="2" t="str">
        <f t="shared" si="12"/>
        <v>-</v>
      </c>
      <c r="J388" s="1" t="str">
        <f>IF(I388="ERROR",BeepMe(),"")</f>
        <v/>
      </c>
      <c r="M388" s="2" t="str">
        <f t="array" ref="M388">IFERROR(INDEX(I:I,SMALL(IF($I$2:$I$450="ERROR", ROW($I$2:$I$450)),ROW()-1)), "")</f>
        <v/>
      </c>
      <c r="N388" s="2" t="str">
        <f t="array" ref="N388">IFERROR(INDEX(A:A,SMALL(IF($I$2:$I$450="ERROR", ROW($A$2:$A$450)),ROW()-1)), "")</f>
        <v/>
      </c>
      <c r="O388" s="2" t="str">
        <f t="array" ref="O388">IFERROR(INDEX(B:B,SMALL(IF($I$2:$I$450="ERROR", ROW($B$2:$B$450)),ROW()-1)), "")</f>
        <v/>
      </c>
      <c r="P388" s="5" t="str">
        <f t="array" ref="P388">IFERROR(INDEX(C:C,SMALL(IF($I$2:$I$450="ERROR", ROW($C$2:$C$450)),ROW()-1)), "")</f>
        <v/>
      </c>
      <c r="Q388" s="5" t="str">
        <f t="array" ref="Q388">IFERROR(INDEX(G:G,SMALL(IF($I$2:$I$450="ERROR", ROW($G$2:$G$450)),ROW()-1)), "")</f>
        <v/>
      </c>
      <c r="R388" s="8" t="str">
        <f t="shared" si="13"/>
        <v/>
      </c>
    </row>
    <row r="389" spans="1:18" x14ac:dyDescent="0.45">
      <c r="A389" s="3" t="s">
        <v>810</v>
      </c>
      <c r="B389" s="1" t="s">
        <v>389</v>
      </c>
      <c r="C389" s="5">
        <v>0.01</v>
      </c>
      <c r="D389" s="4">
        <v>12630</v>
      </c>
      <c r="E389" s="4">
        <v>12630</v>
      </c>
      <c r="F389" s="4">
        <v>12605</v>
      </c>
      <c r="G389" s="5">
        <v>1.979414093428345E-3</v>
      </c>
      <c r="H389" s="6"/>
      <c r="I389" s="2" t="str">
        <f t="shared" si="12"/>
        <v>-</v>
      </c>
      <c r="J389" s="1" t="str">
        <f>IF(I389="ERROR",BeepMe(),"")</f>
        <v/>
      </c>
      <c r="M389" s="2" t="str">
        <f t="array" ref="M389">IFERROR(INDEX(I:I,SMALL(IF($I$2:$I$450="ERROR", ROW($I$2:$I$450)),ROW()-1)), "")</f>
        <v/>
      </c>
      <c r="N389" s="2" t="str">
        <f t="array" ref="N389">IFERROR(INDEX(A:A,SMALL(IF($I$2:$I$450="ERROR", ROW($A$2:$A$450)),ROW()-1)), "")</f>
        <v/>
      </c>
      <c r="O389" s="2" t="str">
        <f t="array" ref="O389">IFERROR(INDEX(B:B,SMALL(IF($I$2:$I$450="ERROR", ROW($B$2:$B$450)),ROW()-1)), "")</f>
        <v/>
      </c>
      <c r="P389" s="5" t="str">
        <f t="array" ref="P389">IFERROR(INDEX(C:C,SMALL(IF($I$2:$I$450="ERROR", ROW($C$2:$C$450)),ROW()-1)), "")</f>
        <v/>
      </c>
      <c r="Q389" s="5" t="str">
        <f t="array" ref="Q389">IFERROR(INDEX(G:G,SMALL(IF($I$2:$I$450="ERROR", ROW($G$2:$G$450)),ROW()-1)), "")</f>
        <v/>
      </c>
      <c r="R389" s="8" t="str">
        <f t="shared" si="13"/>
        <v/>
      </c>
    </row>
    <row r="390" spans="1:18" x14ac:dyDescent="0.45">
      <c r="A390" s="3" t="s">
        <v>811</v>
      </c>
      <c r="B390" s="1" t="s">
        <v>390</v>
      </c>
      <c r="C390" s="5">
        <v>5.0000000000000001E-3</v>
      </c>
      <c r="D390" s="4">
        <v>11050</v>
      </c>
      <c r="E390" s="4">
        <v>11050</v>
      </c>
      <c r="F390" s="4">
        <v>11045</v>
      </c>
      <c r="G390" s="5">
        <v>4.5248868778280545E-4</v>
      </c>
      <c r="H390" s="6"/>
      <c r="I390" s="2" t="str">
        <f t="shared" si="12"/>
        <v>-</v>
      </c>
      <c r="J390" s="1" t="str">
        <f>IF(I390="ERROR",BeepMe(),"")</f>
        <v/>
      </c>
      <c r="M390" s="2" t="str">
        <f t="array" ref="M390">IFERROR(INDEX(I:I,SMALL(IF($I$2:$I$450="ERROR", ROW($I$2:$I$450)),ROW()-1)), "")</f>
        <v/>
      </c>
      <c r="N390" s="2" t="str">
        <f t="array" ref="N390">IFERROR(INDEX(A:A,SMALL(IF($I$2:$I$450="ERROR", ROW($A$2:$A$450)),ROW()-1)), "")</f>
        <v/>
      </c>
      <c r="O390" s="2" t="str">
        <f t="array" ref="O390">IFERROR(INDEX(B:B,SMALL(IF($I$2:$I$450="ERROR", ROW($B$2:$B$450)),ROW()-1)), "")</f>
        <v/>
      </c>
      <c r="P390" s="5" t="str">
        <f t="array" ref="P390">IFERROR(INDEX(C:C,SMALL(IF($I$2:$I$450="ERROR", ROW($C$2:$C$450)),ROW()-1)), "")</f>
        <v/>
      </c>
      <c r="Q390" s="5" t="str">
        <f t="array" ref="Q390">IFERROR(INDEX(G:G,SMALL(IF($I$2:$I$450="ERROR", ROW($G$2:$G$450)),ROW()-1)), "")</f>
        <v/>
      </c>
      <c r="R390" s="8" t="str">
        <f t="shared" si="13"/>
        <v/>
      </c>
    </row>
    <row r="391" spans="1:18" x14ac:dyDescent="0.45">
      <c r="A391" s="3" t="s">
        <v>812</v>
      </c>
      <c r="B391" s="1" t="s">
        <v>391</v>
      </c>
      <c r="C391" s="5">
        <v>5.0000000000000001E-3</v>
      </c>
      <c r="D391" s="4">
        <v>9995</v>
      </c>
      <c r="E391" s="4">
        <v>10010</v>
      </c>
      <c r="F391" s="4">
        <v>9995</v>
      </c>
      <c r="G391" s="5">
        <v>1.5007503751875938E-3</v>
      </c>
      <c r="H391" s="6"/>
      <c r="I391" s="2" t="str">
        <f t="shared" si="12"/>
        <v>-</v>
      </c>
      <c r="J391" s="1" t="str">
        <f>IF(I391="ERROR",BeepMe(),"")</f>
        <v/>
      </c>
      <c r="M391" s="2" t="str">
        <f t="array" ref="M391">IFERROR(INDEX(I:I,SMALL(IF($I$2:$I$450="ERROR", ROW($I$2:$I$450)),ROW()-1)), "")</f>
        <v/>
      </c>
      <c r="N391" s="2" t="str">
        <f t="array" ref="N391">IFERROR(INDEX(A:A,SMALL(IF($I$2:$I$450="ERROR", ROW($A$2:$A$450)),ROW()-1)), "")</f>
        <v/>
      </c>
      <c r="O391" s="2" t="str">
        <f t="array" ref="O391">IFERROR(INDEX(B:B,SMALL(IF($I$2:$I$450="ERROR", ROW($B$2:$B$450)),ROW()-1)), "")</f>
        <v/>
      </c>
      <c r="P391" s="5" t="str">
        <f t="array" ref="P391">IFERROR(INDEX(C:C,SMALL(IF($I$2:$I$450="ERROR", ROW($C$2:$C$450)),ROW()-1)), "")</f>
        <v/>
      </c>
      <c r="Q391" s="5" t="str">
        <f t="array" ref="Q391">IFERROR(INDEX(G:G,SMALL(IF($I$2:$I$450="ERROR", ROW($G$2:$G$450)),ROW()-1)), "")</f>
        <v/>
      </c>
      <c r="R391" s="8" t="str">
        <f t="shared" si="13"/>
        <v/>
      </c>
    </row>
    <row r="392" spans="1:18" x14ac:dyDescent="0.45">
      <c r="A392" s="3" t="s">
        <v>813</v>
      </c>
      <c r="B392" s="1" t="s">
        <v>392</v>
      </c>
      <c r="C392" s="5">
        <v>5.0000000000000001E-3</v>
      </c>
      <c r="D392" s="4">
        <v>10645</v>
      </c>
      <c r="E392" s="4">
        <v>10655</v>
      </c>
      <c r="F392" s="4">
        <v>10645</v>
      </c>
      <c r="G392" s="5">
        <v>9.3940817285110385E-4</v>
      </c>
      <c r="H392" s="6"/>
      <c r="I392" s="2" t="str">
        <f t="shared" si="12"/>
        <v>-</v>
      </c>
      <c r="J392" s="1" t="str">
        <f>IF(I392="ERROR",BeepMe(),"")</f>
        <v/>
      </c>
      <c r="M392" s="2" t="str">
        <f t="array" ref="M392">IFERROR(INDEX(I:I,SMALL(IF($I$2:$I$450="ERROR", ROW($I$2:$I$450)),ROW()-1)), "")</f>
        <v/>
      </c>
      <c r="N392" s="2" t="str">
        <f t="array" ref="N392">IFERROR(INDEX(A:A,SMALL(IF($I$2:$I$450="ERROR", ROW($A$2:$A$450)),ROW()-1)), "")</f>
        <v/>
      </c>
      <c r="O392" s="2" t="str">
        <f t="array" ref="O392">IFERROR(INDEX(B:B,SMALL(IF($I$2:$I$450="ERROR", ROW($B$2:$B$450)),ROW()-1)), "")</f>
        <v/>
      </c>
      <c r="P392" s="5" t="str">
        <f t="array" ref="P392">IFERROR(INDEX(C:C,SMALL(IF($I$2:$I$450="ERROR", ROW($C$2:$C$450)),ROW()-1)), "")</f>
        <v/>
      </c>
      <c r="Q392" s="5" t="str">
        <f t="array" ref="Q392">IFERROR(INDEX(G:G,SMALL(IF($I$2:$I$450="ERROR", ROW($G$2:$G$450)),ROW()-1)), "")</f>
        <v/>
      </c>
      <c r="R392" s="8" t="str">
        <f t="shared" si="13"/>
        <v/>
      </c>
    </row>
    <row r="393" spans="1:18" x14ac:dyDescent="0.45">
      <c r="A393" s="3" t="s">
        <v>814</v>
      </c>
      <c r="B393" s="1" t="s">
        <v>393</v>
      </c>
      <c r="C393" s="5">
        <v>5.0000000000000001E-3</v>
      </c>
      <c r="D393" s="4">
        <v>10425</v>
      </c>
      <c r="E393" s="4">
        <v>10425</v>
      </c>
      <c r="F393" s="4">
        <v>10390</v>
      </c>
      <c r="G393" s="5">
        <v>3.357314148681055E-3</v>
      </c>
      <c r="H393" s="6"/>
      <c r="I393" s="2" t="str">
        <f t="shared" si="12"/>
        <v>-</v>
      </c>
      <c r="J393" s="1" t="str">
        <f>IF(I393="ERROR",BeepMe(),"")</f>
        <v/>
      </c>
      <c r="M393" s="2" t="str">
        <f t="array" ref="M393">IFERROR(INDEX(I:I,SMALL(IF($I$2:$I$450="ERROR", ROW($I$2:$I$450)),ROW()-1)), "")</f>
        <v/>
      </c>
      <c r="N393" s="2" t="str">
        <f t="array" ref="N393">IFERROR(INDEX(A:A,SMALL(IF($I$2:$I$450="ERROR", ROW($A$2:$A$450)),ROW()-1)), "")</f>
        <v/>
      </c>
      <c r="O393" s="2" t="str">
        <f t="array" ref="O393">IFERROR(INDEX(B:B,SMALL(IF($I$2:$I$450="ERROR", ROW($B$2:$B$450)),ROW()-1)), "")</f>
        <v/>
      </c>
      <c r="P393" s="5" t="str">
        <f t="array" ref="P393">IFERROR(INDEX(C:C,SMALL(IF($I$2:$I$450="ERROR", ROW($C$2:$C$450)),ROW()-1)), "")</f>
        <v/>
      </c>
      <c r="Q393" s="5" t="str">
        <f t="array" ref="Q393">IFERROR(INDEX(G:G,SMALL(IF($I$2:$I$450="ERROR", ROW($G$2:$G$450)),ROW()-1)), "")</f>
        <v/>
      </c>
      <c r="R393" s="8" t="str">
        <f t="shared" si="13"/>
        <v/>
      </c>
    </row>
    <row r="394" spans="1:18" x14ac:dyDescent="0.45">
      <c r="A394" s="3" t="s">
        <v>815</v>
      </c>
      <c r="B394" s="1" t="s">
        <v>394</v>
      </c>
      <c r="C394" s="5">
        <v>0.01</v>
      </c>
      <c r="D394" s="4">
        <v>10715</v>
      </c>
      <c r="E394" s="4">
        <v>10715</v>
      </c>
      <c r="F394" s="4">
        <v>10700</v>
      </c>
      <c r="G394" s="5">
        <v>1.3999066728884741E-3</v>
      </c>
      <c r="H394" s="6"/>
      <c r="I394" s="2" t="str">
        <f t="shared" si="12"/>
        <v>-</v>
      </c>
      <c r="J394" s="1" t="str">
        <f>IF(I394="ERROR",BeepMe(),"")</f>
        <v/>
      </c>
      <c r="M394" s="2" t="str">
        <f t="array" ref="M394">IFERROR(INDEX(I:I,SMALL(IF($I$2:$I$450="ERROR", ROW($I$2:$I$450)),ROW()-1)), "")</f>
        <v/>
      </c>
      <c r="N394" s="2" t="str">
        <f t="array" ref="N394">IFERROR(INDEX(A:A,SMALL(IF($I$2:$I$450="ERROR", ROW($A$2:$A$450)),ROW()-1)), "")</f>
        <v/>
      </c>
      <c r="O394" s="2" t="str">
        <f t="array" ref="O394">IFERROR(INDEX(B:B,SMALL(IF($I$2:$I$450="ERROR", ROW($B$2:$B$450)),ROW()-1)), "")</f>
        <v/>
      </c>
      <c r="P394" s="5" t="str">
        <f t="array" ref="P394">IFERROR(INDEX(C:C,SMALL(IF($I$2:$I$450="ERROR", ROW($C$2:$C$450)),ROW()-1)), "")</f>
        <v/>
      </c>
      <c r="Q394" s="5" t="str">
        <f t="array" ref="Q394">IFERROR(INDEX(G:G,SMALL(IF($I$2:$I$450="ERROR", ROW($G$2:$G$450)),ROW()-1)), "")</f>
        <v/>
      </c>
      <c r="R394" s="8" t="str">
        <f t="shared" si="13"/>
        <v/>
      </c>
    </row>
    <row r="395" spans="1:18" x14ac:dyDescent="0.45">
      <c r="A395" s="3" t="s">
        <v>816</v>
      </c>
      <c r="B395" s="1" t="s">
        <v>395</v>
      </c>
      <c r="C395" s="5">
        <v>5.0000000000000001E-3</v>
      </c>
      <c r="D395" s="4">
        <v>9020</v>
      </c>
      <c r="E395" s="4">
        <v>9020</v>
      </c>
      <c r="F395" s="4">
        <v>8980</v>
      </c>
      <c r="G395" s="5">
        <v>4.434589800443459E-3</v>
      </c>
      <c r="H395" s="6"/>
      <c r="I395" s="2" t="str">
        <f t="shared" si="12"/>
        <v>-</v>
      </c>
      <c r="J395" s="1" t="str">
        <f>IF(I395="ERROR",BeepMe(),"")</f>
        <v/>
      </c>
      <c r="M395" s="2" t="str">
        <f t="array" ref="M395">IFERROR(INDEX(I:I,SMALL(IF($I$2:$I$450="ERROR", ROW($I$2:$I$450)),ROW()-1)), "")</f>
        <v/>
      </c>
      <c r="N395" s="2" t="str">
        <f t="array" ref="N395">IFERROR(INDEX(A:A,SMALL(IF($I$2:$I$450="ERROR", ROW($A$2:$A$450)),ROW()-1)), "")</f>
        <v/>
      </c>
      <c r="O395" s="2" t="str">
        <f t="array" ref="O395">IFERROR(INDEX(B:B,SMALL(IF($I$2:$I$450="ERROR", ROW($B$2:$B$450)),ROW()-1)), "")</f>
        <v/>
      </c>
      <c r="P395" s="5" t="str">
        <f t="array" ref="P395">IFERROR(INDEX(C:C,SMALL(IF($I$2:$I$450="ERROR", ROW($C$2:$C$450)),ROW()-1)), "")</f>
        <v/>
      </c>
      <c r="Q395" s="5" t="str">
        <f t="array" ref="Q395">IFERROR(INDEX(G:G,SMALL(IF($I$2:$I$450="ERROR", ROW($G$2:$G$450)),ROW()-1)), "")</f>
        <v/>
      </c>
      <c r="R395" s="8" t="str">
        <f t="shared" si="13"/>
        <v/>
      </c>
    </row>
    <row r="396" spans="1:18" x14ac:dyDescent="0.45">
      <c r="A396" s="3" t="s">
        <v>817</v>
      </c>
      <c r="B396" s="1" t="s">
        <v>396</v>
      </c>
      <c r="C396" s="5">
        <v>5.0000000000000001E-3</v>
      </c>
      <c r="D396" s="4">
        <v>8780</v>
      </c>
      <c r="E396" s="4">
        <v>8780</v>
      </c>
      <c r="F396" s="4">
        <v>8755</v>
      </c>
      <c r="G396" s="5">
        <v>2.8473804100227792E-3</v>
      </c>
      <c r="H396" s="6"/>
      <c r="I396" s="2" t="str">
        <f t="shared" si="12"/>
        <v>-</v>
      </c>
      <c r="J396" s="1" t="str">
        <f>IF(I396="ERROR",BeepMe(),"")</f>
        <v/>
      </c>
      <c r="M396" s="2" t="str">
        <f t="array" ref="M396">IFERROR(INDEX(I:I,SMALL(IF($I$2:$I$450="ERROR", ROW($I$2:$I$450)),ROW()-1)), "")</f>
        <v/>
      </c>
      <c r="N396" s="2" t="str">
        <f t="array" ref="N396">IFERROR(INDEX(A:A,SMALL(IF($I$2:$I$450="ERROR", ROW($A$2:$A$450)),ROW()-1)), "")</f>
        <v/>
      </c>
      <c r="O396" s="2" t="str">
        <f t="array" ref="O396">IFERROR(INDEX(B:B,SMALL(IF($I$2:$I$450="ERROR", ROW($B$2:$B$450)),ROW()-1)), "")</f>
        <v/>
      </c>
      <c r="P396" s="5" t="str">
        <f t="array" ref="P396">IFERROR(INDEX(C:C,SMALL(IF($I$2:$I$450="ERROR", ROW($C$2:$C$450)),ROW()-1)), "")</f>
        <v/>
      </c>
      <c r="Q396" s="5" t="str">
        <f t="array" ref="Q396">IFERROR(INDEX(G:G,SMALL(IF($I$2:$I$450="ERROR", ROW($G$2:$G$450)),ROW()-1)), "")</f>
        <v/>
      </c>
      <c r="R396" s="8" t="str">
        <f t="shared" si="13"/>
        <v/>
      </c>
    </row>
    <row r="397" spans="1:18" x14ac:dyDescent="0.45">
      <c r="A397" s="3" t="s">
        <v>818</v>
      </c>
      <c r="B397" s="1" t="s">
        <v>397</v>
      </c>
      <c r="C397" s="5">
        <v>0</v>
      </c>
      <c r="D397" s="4">
        <v>8990</v>
      </c>
      <c r="E397" s="4">
        <v>9020</v>
      </c>
      <c r="F397" s="4">
        <v>8985</v>
      </c>
      <c r="G397" s="5">
        <v>3.89321468298109E-3</v>
      </c>
      <c r="H397" s="6"/>
      <c r="I397" s="2" t="str">
        <f t="shared" si="12"/>
        <v>ERROR</v>
      </c>
      <c r="J397" s="1" t="str">
        <f>IF(I397="ERROR",BeepMe(),"")</f>
        <v/>
      </c>
      <c r="M397" s="2" t="str">
        <f t="array" ref="M397">IFERROR(INDEX(I:I,SMALL(IF($I$2:$I$450="ERROR", ROW($I$2:$I$450)),ROW()-1)), "")</f>
        <v/>
      </c>
      <c r="N397" s="2" t="str">
        <f t="array" ref="N397">IFERROR(INDEX(A:A,SMALL(IF($I$2:$I$450="ERROR", ROW($A$2:$A$450)),ROW()-1)), "")</f>
        <v/>
      </c>
      <c r="O397" s="2" t="str">
        <f t="array" ref="O397">IFERROR(INDEX(B:B,SMALL(IF($I$2:$I$450="ERROR", ROW($B$2:$B$450)),ROW()-1)), "")</f>
        <v/>
      </c>
      <c r="P397" s="5" t="str">
        <f t="array" ref="P397">IFERROR(INDEX(C:C,SMALL(IF($I$2:$I$450="ERROR", ROW($C$2:$C$450)),ROW()-1)), "")</f>
        <v/>
      </c>
      <c r="Q397" s="5" t="str">
        <f t="array" ref="Q397">IFERROR(INDEX(G:G,SMALL(IF($I$2:$I$450="ERROR", ROW($G$2:$G$450)),ROW()-1)), "")</f>
        <v/>
      </c>
      <c r="R397" s="8" t="str">
        <f t="shared" si="13"/>
        <v/>
      </c>
    </row>
    <row r="398" spans="1:18" x14ac:dyDescent="0.45">
      <c r="A398" s="3" t="s">
        <v>819</v>
      </c>
      <c r="B398" s="1" t="s">
        <v>398</v>
      </c>
      <c r="C398" s="5">
        <v>5.0000000000000001E-3</v>
      </c>
      <c r="D398" s="4">
        <v>9000</v>
      </c>
      <c r="E398" s="4">
        <v>9000</v>
      </c>
      <c r="F398" s="4">
        <v>8990</v>
      </c>
      <c r="G398" s="5">
        <v>1.1111111111111111E-3</v>
      </c>
      <c r="H398" s="6"/>
      <c r="I398" s="2" t="str">
        <f t="shared" si="12"/>
        <v>-</v>
      </c>
      <c r="J398" s="1" t="str">
        <f>IF(I398="ERROR",BeepMe(),"")</f>
        <v/>
      </c>
      <c r="M398" s="2" t="str">
        <f t="array" ref="M398">IFERROR(INDEX(I:I,SMALL(IF($I$2:$I$450="ERROR", ROW($I$2:$I$450)),ROW()-1)), "")</f>
        <v/>
      </c>
      <c r="N398" s="2" t="str">
        <f t="array" ref="N398">IFERROR(INDEX(A:A,SMALL(IF($I$2:$I$450="ERROR", ROW($A$2:$A$450)),ROW()-1)), "")</f>
        <v/>
      </c>
      <c r="O398" s="2" t="str">
        <f t="array" ref="O398">IFERROR(INDEX(B:B,SMALL(IF($I$2:$I$450="ERROR", ROW($B$2:$B$450)),ROW()-1)), "")</f>
        <v/>
      </c>
      <c r="P398" s="5" t="str">
        <f t="array" ref="P398">IFERROR(INDEX(C:C,SMALL(IF($I$2:$I$450="ERROR", ROW($C$2:$C$450)),ROW()-1)), "")</f>
        <v/>
      </c>
      <c r="Q398" s="5" t="str">
        <f t="array" ref="Q398">IFERROR(INDEX(G:G,SMALL(IF($I$2:$I$450="ERROR", ROW($G$2:$G$450)),ROW()-1)), "")</f>
        <v/>
      </c>
      <c r="R398" s="8" t="str">
        <f t="shared" si="13"/>
        <v/>
      </c>
    </row>
    <row r="399" spans="1:18" x14ac:dyDescent="0.45">
      <c r="A399" s="3" t="s">
        <v>820</v>
      </c>
      <c r="B399" s="1" t="s">
        <v>399</v>
      </c>
      <c r="C399" s="5">
        <v>5.0000000000000001E-3</v>
      </c>
      <c r="D399" s="4">
        <v>9065</v>
      </c>
      <c r="E399" s="4">
        <v>9060</v>
      </c>
      <c r="F399" s="4">
        <v>9050</v>
      </c>
      <c r="G399" s="5">
        <v>1.1031439602868175E-3</v>
      </c>
      <c r="H399" s="6"/>
      <c r="I399" s="2" t="str">
        <f t="shared" si="12"/>
        <v>-</v>
      </c>
      <c r="J399" s="1" t="str">
        <f>IF(I399="ERROR",BeepMe(),"")</f>
        <v/>
      </c>
      <c r="M399" s="2" t="str">
        <f t="array" ref="M399">IFERROR(INDEX(I:I,SMALL(IF($I$2:$I$450="ERROR", ROW($I$2:$I$450)),ROW()-1)), "")</f>
        <v/>
      </c>
      <c r="N399" s="2" t="str">
        <f t="array" ref="N399">IFERROR(INDEX(A:A,SMALL(IF($I$2:$I$450="ERROR", ROW($A$2:$A$450)),ROW()-1)), "")</f>
        <v/>
      </c>
      <c r="O399" s="2" t="str">
        <f t="array" ref="O399">IFERROR(INDEX(B:B,SMALL(IF($I$2:$I$450="ERROR", ROW($B$2:$B$450)),ROW()-1)), "")</f>
        <v/>
      </c>
      <c r="P399" s="5" t="str">
        <f t="array" ref="P399">IFERROR(INDEX(C:C,SMALL(IF($I$2:$I$450="ERROR", ROW($C$2:$C$450)),ROW()-1)), "")</f>
        <v/>
      </c>
      <c r="Q399" s="5" t="str">
        <f t="array" ref="Q399">IFERROR(INDEX(G:G,SMALL(IF($I$2:$I$450="ERROR", ROW($G$2:$G$450)),ROW()-1)), "")</f>
        <v/>
      </c>
      <c r="R399" s="8" t="str">
        <f t="shared" si="13"/>
        <v/>
      </c>
    </row>
    <row r="400" spans="1:18" x14ac:dyDescent="0.45">
      <c r="A400" s="3" t="s">
        <v>821</v>
      </c>
      <c r="B400" s="1" t="s">
        <v>400</v>
      </c>
      <c r="C400" s="5">
        <v>5.0000000000000001E-3</v>
      </c>
      <c r="D400" s="4">
        <v>8785</v>
      </c>
      <c r="E400" s="4">
        <v>8810</v>
      </c>
      <c r="F400" s="4">
        <v>8780</v>
      </c>
      <c r="G400" s="5">
        <v>3.4149117814456461E-3</v>
      </c>
      <c r="H400" s="6"/>
      <c r="I400" s="2" t="str">
        <f t="shared" si="12"/>
        <v>-</v>
      </c>
      <c r="J400" s="1" t="str">
        <f>IF(I400="ERROR",BeepMe(),"")</f>
        <v/>
      </c>
      <c r="M400" s="2" t="str">
        <f t="array" ref="M400">IFERROR(INDEX(I:I,SMALL(IF($I$2:$I$450="ERROR", ROW($I$2:$I$450)),ROW()-1)), "")</f>
        <v/>
      </c>
      <c r="N400" s="2" t="str">
        <f t="array" ref="N400">IFERROR(INDEX(A:A,SMALL(IF($I$2:$I$450="ERROR", ROW($A$2:$A$450)),ROW()-1)), "")</f>
        <v/>
      </c>
      <c r="O400" s="2" t="str">
        <f t="array" ref="O400">IFERROR(INDEX(B:B,SMALL(IF($I$2:$I$450="ERROR", ROW($B$2:$B$450)),ROW()-1)), "")</f>
        <v/>
      </c>
      <c r="P400" s="5" t="str">
        <f t="array" ref="P400">IFERROR(INDEX(C:C,SMALL(IF($I$2:$I$450="ERROR", ROW($C$2:$C$450)),ROW()-1)), "")</f>
        <v/>
      </c>
      <c r="Q400" s="5" t="str">
        <f t="array" ref="Q400">IFERROR(INDEX(G:G,SMALL(IF($I$2:$I$450="ERROR", ROW($G$2:$G$450)),ROW()-1)), "")</f>
        <v/>
      </c>
      <c r="R400" s="8" t="str">
        <f t="shared" si="13"/>
        <v/>
      </c>
    </row>
    <row r="401" spans="1:18" x14ac:dyDescent="0.45">
      <c r="A401" s="3" t="s">
        <v>822</v>
      </c>
      <c r="B401" s="1" t="s">
        <v>401</v>
      </c>
      <c r="C401" s="5">
        <v>0</v>
      </c>
      <c r="D401" s="4">
        <v>8430</v>
      </c>
      <c r="E401" s="4">
        <v>8430</v>
      </c>
      <c r="F401" s="4">
        <v>8410</v>
      </c>
      <c r="G401" s="5">
        <v>2.3724792408066431E-3</v>
      </c>
      <c r="H401" s="6"/>
      <c r="I401" s="2" t="str">
        <f t="shared" si="12"/>
        <v>ERROR</v>
      </c>
      <c r="J401" s="1" t="str">
        <f>IF(I401="ERROR",BeepMe(),"")</f>
        <v/>
      </c>
      <c r="M401" s="2" t="str">
        <f t="array" ref="M401">IFERROR(INDEX(I:I,SMALL(IF($I$2:$I$450="ERROR", ROW($I$2:$I$450)),ROW()-1)), "")</f>
        <v/>
      </c>
      <c r="N401" s="2" t="str">
        <f t="array" ref="N401">IFERROR(INDEX(A:A,SMALL(IF($I$2:$I$450="ERROR", ROW($A$2:$A$450)),ROW()-1)), "")</f>
        <v/>
      </c>
      <c r="O401" s="2" t="str">
        <f t="array" ref="O401">IFERROR(INDEX(B:B,SMALL(IF($I$2:$I$450="ERROR", ROW($B$2:$B$450)),ROW()-1)), "")</f>
        <v/>
      </c>
      <c r="P401" s="5" t="str">
        <f t="array" ref="P401">IFERROR(INDEX(C:C,SMALL(IF($I$2:$I$450="ERROR", ROW($C$2:$C$450)),ROW()-1)), "")</f>
        <v/>
      </c>
      <c r="Q401" s="5" t="str">
        <f t="array" ref="Q401">IFERROR(INDEX(G:G,SMALL(IF($I$2:$I$450="ERROR", ROW($G$2:$G$450)),ROW()-1)), "")</f>
        <v/>
      </c>
      <c r="R401" s="8" t="str">
        <f t="shared" si="13"/>
        <v/>
      </c>
    </row>
    <row r="402" spans="1:18" x14ac:dyDescent="0.45">
      <c r="A402" s="3" t="s">
        <v>823</v>
      </c>
      <c r="B402" s="1" t="s">
        <v>402</v>
      </c>
      <c r="C402" s="5">
        <v>0.01</v>
      </c>
      <c r="D402" s="4">
        <v>9145</v>
      </c>
      <c r="E402" s="4">
        <v>9145</v>
      </c>
      <c r="F402" s="4">
        <v>9125</v>
      </c>
      <c r="G402" s="5">
        <v>2.1869874248223072E-3</v>
      </c>
      <c r="H402" s="6"/>
      <c r="I402" s="2" t="str">
        <f t="shared" si="12"/>
        <v>-</v>
      </c>
      <c r="J402" s="1" t="str">
        <f>IF(I402="ERROR",BeepMe(),"")</f>
        <v/>
      </c>
      <c r="M402" s="2" t="str">
        <f t="array" ref="M402">IFERROR(INDEX(I:I,SMALL(IF($I$2:$I$450="ERROR", ROW($I$2:$I$450)),ROW()-1)), "")</f>
        <v/>
      </c>
      <c r="N402" s="2" t="str">
        <f t="array" ref="N402">IFERROR(INDEX(A:A,SMALL(IF($I$2:$I$450="ERROR", ROW($A$2:$A$450)),ROW()-1)), "")</f>
        <v/>
      </c>
      <c r="O402" s="2" t="str">
        <f t="array" ref="O402">IFERROR(INDEX(B:B,SMALL(IF($I$2:$I$450="ERROR", ROW($B$2:$B$450)),ROW()-1)), "")</f>
        <v/>
      </c>
      <c r="P402" s="5" t="str">
        <f t="array" ref="P402">IFERROR(INDEX(C:C,SMALL(IF($I$2:$I$450="ERROR", ROW($C$2:$C$450)),ROW()-1)), "")</f>
        <v/>
      </c>
      <c r="Q402" s="5" t="str">
        <f t="array" ref="Q402">IFERROR(INDEX(G:G,SMALL(IF($I$2:$I$450="ERROR", ROW($G$2:$G$450)),ROW()-1)), "")</f>
        <v/>
      </c>
      <c r="R402" s="8" t="str">
        <f t="shared" si="13"/>
        <v/>
      </c>
    </row>
    <row r="403" spans="1:18" x14ac:dyDescent="0.45">
      <c r="A403" s="3" t="s">
        <v>824</v>
      </c>
      <c r="B403" s="1" t="s">
        <v>403</v>
      </c>
      <c r="C403" s="5">
        <v>0.01</v>
      </c>
      <c r="D403" s="4">
        <v>7405</v>
      </c>
      <c r="E403" s="4">
        <v>7405</v>
      </c>
      <c r="F403" s="4">
        <v>7400</v>
      </c>
      <c r="G403" s="5">
        <v>6.7521944632005406E-4</v>
      </c>
      <c r="H403" s="6"/>
      <c r="I403" s="2" t="str">
        <f t="shared" si="12"/>
        <v>-</v>
      </c>
      <c r="J403" s="1" t="str">
        <f>IF(I403="ERROR",BeepMe(),"")</f>
        <v/>
      </c>
      <c r="M403" s="2" t="str">
        <f t="array" ref="M403">IFERROR(INDEX(I:I,SMALL(IF($I$2:$I$450="ERROR", ROW($I$2:$I$450)),ROW()-1)), "")</f>
        <v/>
      </c>
      <c r="N403" s="2" t="str">
        <f t="array" ref="N403">IFERROR(INDEX(A:A,SMALL(IF($I$2:$I$450="ERROR", ROW($A$2:$A$450)),ROW()-1)), "")</f>
        <v/>
      </c>
      <c r="O403" s="2" t="str">
        <f t="array" ref="O403">IFERROR(INDEX(B:B,SMALL(IF($I$2:$I$450="ERROR", ROW($B$2:$B$450)),ROW()-1)), "")</f>
        <v/>
      </c>
      <c r="P403" s="5" t="str">
        <f t="array" ref="P403">IFERROR(INDEX(C:C,SMALL(IF($I$2:$I$450="ERROR", ROW($C$2:$C$450)),ROW()-1)), "")</f>
        <v/>
      </c>
      <c r="Q403" s="5" t="str">
        <f t="array" ref="Q403">IFERROR(INDEX(G:G,SMALL(IF($I$2:$I$450="ERROR", ROW($G$2:$G$450)),ROW()-1)), "")</f>
        <v/>
      </c>
      <c r="R403" s="8" t="str">
        <f t="shared" si="13"/>
        <v/>
      </c>
    </row>
    <row r="404" spans="1:18" x14ac:dyDescent="0.45">
      <c r="A404" s="3" t="s">
        <v>825</v>
      </c>
      <c r="B404" s="1" t="s">
        <v>404</v>
      </c>
      <c r="C404" s="5">
        <v>0.01</v>
      </c>
      <c r="D404" s="4">
        <v>11240</v>
      </c>
      <c r="E404" s="4">
        <v>11240</v>
      </c>
      <c r="F404" s="4">
        <v>11235</v>
      </c>
      <c r="G404" s="5">
        <v>4.4483985765124553E-4</v>
      </c>
      <c r="H404" s="6"/>
      <c r="I404" s="2" t="str">
        <f t="shared" si="12"/>
        <v>-</v>
      </c>
      <c r="J404" s="1" t="str">
        <f>IF(I404="ERROR",BeepMe(),"")</f>
        <v/>
      </c>
      <c r="M404" s="2" t="str">
        <f t="array" ref="M404">IFERROR(INDEX(I:I,SMALL(IF($I$2:$I$450="ERROR", ROW($I$2:$I$450)),ROW()-1)), "")</f>
        <v/>
      </c>
      <c r="N404" s="2" t="str">
        <f t="array" ref="N404">IFERROR(INDEX(A:A,SMALL(IF($I$2:$I$450="ERROR", ROW($A$2:$A$450)),ROW()-1)), "")</f>
        <v/>
      </c>
      <c r="O404" s="2" t="str">
        <f t="array" ref="O404">IFERROR(INDEX(B:B,SMALL(IF($I$2:$I$450="ERROR", ROW($B$2:$B$450)),ROW()-1)), "")</f>
        <v/>
      </c>
      <c r="P404" s="5" t="str">
        <f t="array" ref="P404">IFERROR(INDEX(C:C,SMALL(IF($I$2:$I$450="ERROR", ROW($C$2:$C$450)),ROW()-1)), "")</f>
        <v/>
      </c>
      <c r="Q404" s="5" t="str">
        <f t="array" ref="Q404">IFERROR(INDEX(G:G,SMALL(IF($I$2:$I$450="ERROR", ROW($G$2:$G$450)),ROW()-1)), "")</f>
        <v/>
      </c>
      <c r="R404" s="8" t="str">
        <f t="shared" si="13"/>
        <v/>
      </c>
    </row>
    <row r="405" spans="1:18" x14ac:dyDescent="0.45">
      <c r="A405" s="3" t="s">
        <v>826</v>
      </c>
      <c r="B405" s="1" t="s">
        <v>405</v>
      </c>
      <c r="C405" s="5">
        <v>0.01</v>
      </c>
      <c r="D405" s="4">
        <v>7025</v>
      </c>
      <c r="E405" s="4">
        <v>7030</v>
      </c>
      <c r="F405" s="4">
        <v>7025</v>
      </c>
      <c r="G405" s="5">
        <v>7.1174377224199293E-4</v>
      </c>
      <c r="H405" s="6"/>
      <c r="I405" s="2" t="str">
        <f t="shared" si="12"/>
        <v>-</v>
      </c>
      <c r="J405" s="1" t="str">
        <f>IF(I405="ERROR",BeepMe(),"")</f>
        <v/>
      </c>
      <c r="M405" s="2" t="str">
        <f t="array" ref="M405">IFERROR(INDEX(I:I,SMALL(IF($I$2:$I$450="ERROR", ROW($I$2:$I$450)),ROW()-1)), "")</f>
        <v/>
      </c>
      <c r="N405" s="2" t="str">
        <f t="array" ref="N405">IFERROR(INDEX(A:A,SMALL(IF($I$2:$I$450="ERROR", ROW($A$2:$A$450)),ROW()-1)), "")</f>
        <v/>
      </c>
      <c r="O405" s="2" t="str">
        <f t="array" ref="O405">IFERROR(INDEX(B:B,SMALL(IF($I$2:$I$450="ERROR", ROW($B$2:$B$450)),ROW()-1)), "")</f>
        <v/>
      </c>
      <c r="P405" s="5" t="str">
        <f t="array" ref="P405">IFERROR(INDEX(C:C,SMALL(IF($I$2:$I$450="ERROR", ROW($C$2:$C$450)),ROW()-1)), "")</f>
        <v/>
      </c>
      <c r="Q405" s="5" t="str">
        <f t="array" ref="Q405">IFERROR(INDEX(G:G,SMALL(IF($I$2:$I$450="ERROR", ROW($G$2:$G$450)),ROW()-1)), "")</f>
        <v/>
      </c>
      <c r="R405" s="8" t="str">
        <f t="shared" si="13"/>
        <v/>
      </c>
    </row>
    <row r="406" spans="1:18" x14ac:dyDescent="0.45">
      <c r="A406" s="3" t="s">
        <v>827</v>
      </c>
      <c r="B406" s="1" t="s">
        <v>406</v>
      </c>
      <c r="C406" s="5">
        <v>5.0000000000000001E-3</v>
      </c>
      <c r="D406" s="4">
        <v>8480</v>
      </c>
      <c r="E406" s="4">
        <v>8480</v>
      </c>
      <c r="F406" s="4">
        <v>8460</v>
      </c>
      <c r="G406" s="5">
        <v>2.3584905660377358E-3</v>
      </c>
      <c r="H406" s="6"/>
      <c r="I406" s="2" t="str">
        <f t="shared" si="12"/>
        <v>-</v>
      </c>
      <c r="J406" s="1" t="str">
        <f>IF(I406="ERROR",BeepMe(),"")</f>
        <v/>
      </c>
      <c r="M406" s="2" t="str">
        <f t="array" ref="M406">IFERROR(INDEX(I:I,SMALL(IF($I$2:$I$450="ERROR", ROW($I$2:$I$450)),ROW()-1)), "")</f>
        <v/>
      </c>
      <c r="N406" s="2" t="str">
        <f t="array" ref="N406">IFERROR(INDEX(A:A,SMALL(IF($I$2:$I$450="ERROR", ROW($A$2:$A$450)),ROW()-1)), "")</f>
        <v/>
      </c>
      <c r="O406" s="2" t="str">
        <f t="array" ref="O406">IFERROR(INDEX(B:B,SMALL(IF($I$2:$I$450="ERROR", ROW($B$2:$B$450)),ROW()-1)), "")</f>
        <v/>
      </c>
      <c r="P406" s="5" t="str">
        <f t="array" ref="P406">IFERROR(INDEX(C:C,SMALL(IF($I$2:$I$450="ERROR", ROW($C$2:$C$450)),ROW()-1)), "")</f>
        <v/>
      </c>
      <c r="Q406" s="5" t="str">
        <f t="array" ref="Q406">IFERROR(INDEX(G:G,SMALL(IF($I$2:$I$450="ERROR", ROW($G$2:$G$450)),ROW()-1)), "")</f>
        <v/>
      </c>
      <c r="R406" s="8" t="str">
        <f t="shared" si="13"/>
        <v/>
      </c>
    </row>
    <row r="407" spans="1:18" x14ac:dyDescent="0.45">
      <c r="A407" s="3" t="s">
        <v>828</v>
      </c>
      <c r="B407" s="1" t="s">
        <v>407</v>
      </c>
      <c r="C407" s="5">
        <v>5.0000000000000001E-3</v>
      </c>
      <c r="D407" s="4">
        <v>8520</v>
      </c>
      <c r="E407" s="4">
        <v>8520</v>
      </c>
      <c r="F407" s="4">
        <v>8495</v>
      </c>
      <c r="G407" s="5">
        <v>2.9342723004694834E-3</v>
      </c>
      <c r="H407" s="6"/>
      <c r="I407" s="2" t="str">
        <f t="shared" si="12"/>
        <v>-</v>
      </c>
      <c r="J407" s="1" t="str">
        <f>IF(I407="ERROR",BeepMe(),"")</f>
        <v/>
      </c>
      <c r="M407" s="2" t="str">
        <f t="array" ref="M407">IFERROR(INDEX(I:I,SMALL(IF($I$2:$I$450="ERROR", ROW($I$2:$I$450)),ROW()-1)), "")</f>
        <v/>
      </c>
      <c r="N407" s="2" t="str">
        <f t="array" ref="N407">IFERROR(INDEX(A:A,SMALL(IF($I$2:$I$450="ERROR", ROW($A$2:$A$450)),ROW()-1)), "")</f>
        <v/>
      </c>
      <c r="O407" s="2" t="str">
        <f t="array" ref="O407">IFERROR(INDEX(B:B,SMALL(IF($I$2:$I$450="ERROR", ROW($B$2:$B$450)),ROW()-1)), "")</f>
        <v/>
      </c>
      <c r="P407" s="5" t="str">
        <f t="array" ref="P407">IFERROR(INDEX(C:C,SMALL(IF($I$2:$I$450="ERROR", ROW($C$2:$C$450)),ROW()-1)), "")</f>
        <v/>
      </c>
      <c r="Q407" s="5" t="str">
        <f t="array" ref="Q407">IFERROR(INDEX(G:G,SMALL(IF($I$2:$I$450="ERROR", ROW($G$2:$G$450)),ROW()-1)), "")</f>
        <v/>
      </c>
      <c r="R407" s="8" t="str">
        <f t="shared" si="13"/>
        <v/>
      </c>
    </row>
    <row r="408" spans="1:18" x14ac:dyDescent="0.45">
      <c r="A408" s="3" t="s">
        <v>829</v>
      </c>
      <c r="B408" s="1" t="s">
        <v>408</v>
      </c>
      <c r="C408" s="5">
        <v>0.01</v>
      </c>
      <c r="D408" s="4">
        <v>8560</v>
      </c>
      <c r="E408" s="4">
        <v>8560</v>
      </c>
      <c r="F408" s="4">
        <v>8555</v>
      </c>
      <c r="G408" s="5">
        <v>5.8411214953271024E-4</v>
      </c>
      <c r="H408" s="6"/>
      <c r="I408" s="2" t="str">
        <f t="shared" si="12"/>
        <v>-</v>
      </c>
      <c r="J408" s="1" t="str">
        <f>IF(I408="ERROR",BeepMe(),"")</f>
        <v/>
      </c>
      <c r="M408" s="2" t="str">
        <f t="array" ref="M408">IFERROR(INDEX(I:I,SMALL(IF($I$2:$I$450="ERROR", ROW($I$2:$I$450)),ROW()-1)), "")</f>
        <v/>
      </c>
      <c r="N408" s="2" t="str">
        <f t="array" ref="N408">IFERROR(INDEX(A:A,SMALL(IF($I$2:$I$450="ERROR", ROW($A$2:$A$450)),ROW()-1)), "")</f>
        <v/>
      </c>
      <c r="O408" s="2" t="str">
        <f t="array" ref="O408">IFERROR(INDEX(B:B,SMALL(IF($I$2:$I$450="ERROR", ROW($B$2:$B$450)),ROW()-1)), "")</f>
        <v/>
      </c>
      <c r="P408" s="5" t="str">
        <f t="array" ref="P408">IFERROR(INDEX(C:C,SMALL(IF($I$2:$I$450="ERROR", ROW($C$2:$C$450)),ROW()-1)), "")</f>
        <v/>
      </c>
      <c r="Q408" s="5" t="str">
        <f t="array" ref="Q408">IFERROR(INDEX(G:G,SMALL(IF($I$2:$I$450="ERROR", ROW($G$2:$G$450)),ROW()-1)), "")</f>
        <v/>
      </c>
      <c r="R408" s="8" t="str">
        <f t="shared" si="13"/>
        <v/>
      </c>
    </row>
    <row r="409" spans="1:18" x14ac:dyDescent="0.45">
      <c r="A409" s="3" t="s">
        <v>830</v>
      </c>
      <c r="B409" s="1" t="s">
        <v>409</v>
      </c>
      <c r="C409" s="5">
        <v>0.01</v>
      </c>
      <c r="D409" s="4">
        <v>9030</v>
      </c>
      <c r="E409" s="4">
        <v>9095</v>
      </c>
      <c r="F409" s="4">
        <v>9030</v>
      </c>
      <c r="G409" s="5">
        <v>7.1982281284606866E-3</v>
      </c>
      <c r="H409" s="6"/>
      <c r="I409" s="2" t="str">
        <f t="shared" si="12"/>
        <v>-</v>
      </c>
      <c r="J409" s="1" t="str">
        <f>IF(I409="ERROR",BeepMe(),"")</f>
        <v/>
      </c>
      <c r="M409" s="2" t="str">
        <f t="array" ref="M409">IFERROR(INDEX(I:I,SMALL(IF($I$2:$I$450="ERROR", ROW($I$2:$I$450)),ROW()-1)), "")</f>
        <v/>
      </c>
      <c r="N409" s="2" t="str">
        <f t="array" ref="N409">IFERROR(INDEX(A:A,SMALL(IF($I$2:$I$450="ERROR", ROW($A$2:$A$450)),ROW()-1)), "")</f>
        <v/>
      </c>
      <c r="O409" s="2" t="str">
        <f t="array" ref="O409">IFERROR(INDEX(B:B,SMALL(IF($I$2:$I$450="ERROR", ROW($B$2:$B$450)),ROW()-1)), "")</f>
        <v/>
      </c>
      <c r="P409" s="5" t="str">
        <f t="array" ref="P409">IFERROR(INDEX(C:C,SMALL(IF($I$2:$I$450="ERROR", ROW($C$2:$C$450)),ROW()-1)), "")</f>
        <v/>
      </c>
      <c r="Q409" s="5" t="str">
        <f t="array" ref="Q409">IFERROR(INDEX(G:G,SMALL(IF($I$2:$I$450="ERROR", ROW($G$2:$G$450)),ROW()-1)), "")</f>
        <v/>
      </c>
      <c r="R409" s="8" t="str">
        <f t="shared" si="13"/>
        <v/>
      </c>
    </row>
    <row r="410" spans="1:18" x14ac:dyDescent="0.45">
      <c r="A410" s="3" t="s">
        <v>831</v>
      </c>
      <c r="B410" s="1" t="s">
        <v>410</v>
      </c>
      <c r="C410" s="5">
        <v>0.01</v>
      </c>
      <c r="D410" s="4">
        <v>7985</v>
      </c>
      <c r="E410" s="4">
        <v>7985</v>
      </c>
      <c r="F410" s="4">
        <v>7980</v>
      </c>
      <c r="G410" s="5">
        <v>6.2617407639323729E-4</v>
      </c>
      <c r="H410" s="6"/>
      <c r="I410" s="2" t="str">
        <f t="shared" si="12"/>
        <v>-</v>
      </c>
      <c r="J410" s="1" t="str">
        <f>IF(I410="ERROR",BeepMe(),"")</f>
        <v/>
      </c>
      <c r="M410" s="2" t="str">
        <f t="array" ref="M410">IFERROR(INDEX(I:I,SMALL(IF($I$2:$I$450="ERROR", ROW($I$2:$I$450)),ROW()-1)), "")</f>
        <v/>
      </c>
      <c r="N410" s="2" t="str">
        <f t="array" ref="N410">IFERROR(INDEX(A:A,SMALL(IF($I$2:$I$450="ERROR", ROW($A$2:$A$450)),ROW()-1)), "")</f>
        <v/>
      </c>
      <c r="O410" s="2" t="str">
        <f t="array" ref="O410">IFERROR(INDEX(B:B,SMALL(IF($I$2:$I$450="ERROR", ROW($B$2:$B$450)),ROW()-1)), "")</f>
        <v/>
      </c>
      <c r="P410" s="5" t="str">
        <f t="array" ref="P410">IFERROR(INDEX(C:C,SMALL(IF($I$2:$I$450="ERROR", ROW($C$2:$C$450)),ROW()-1)), "")</f>
        <v/>
      </c>
      <c r="Q410" s="5" t="str">
        <f t="array" ref="Q410">IFERROR(INDEX(G:G,SMALL(IF($I$2:$I$450="ERROR", ROW($G$2:$G$450)),ROW()-1)), "")</f>
        <v/>
      </c>
      <c r="R410" s="8" t="str">
        <f t="shared" si="13"/>
        <v/>
      </c>
    </row>
    <row r="411" spans="1:18" x14ac:dyDescent="0.45">
      <c r="A411" s="3" t="s">
        <v>832</v>
      </c>
      <c r="B411" s="1" t="s">
        <v>411</v>
      </c>
      <c r="C411" s="5">
        <v>0.01</v>
      </c>
      <c r="D411" s="4">
        <v>7550</v>
      </c>
      <c r="E411" s="4">
        <v>7550</v>
      </c>
      <c r="F411" s="4">
        <v>7545</v>
      </c>
      <c r="G411" s="5">
        <v>6.6225165562913907E-4</v>
      </c>
      <c r="H411" s="6"/>
      <c r="I411" s="2" t="str">
        <f t="shared" si="12"/>
        <v>-</v>
      </c>
      <c r="J411" s="1" t="str">
        <f>IF(I411="ERROR",BeepMe(),"")</f>
        <v/>
      </c>
      <c r="M411" s="2" t="str">
        <f t="array" ref="M411">IFERROR(INDEX(I:I,SMALL(IF($I$2:$I$450="ERROR", ROW($I$2:$I$450)),ROW()-1)), "")</f>
        <v/>
      </c>
      <c r="N411" s="2" t="str">
        <f t="array" ref="N411">IFERROR(INDEX(A:A,SMALL(IF($I$2:$I$450="ERROR", ROW($A$2:$A$450)),ROW()-1)), "")</f>
        <v/>
      </c>
      <c r="O411" s="2" t="str">
        <f t="array" ref="O411">IFERROR(INDEX(B:B,SMALL(IF($I$2:$I$450="ERROR", ROW($B$2:$B$450)),ROW()-1)), "")</f>
        <v/>
      </c>
      <c r="P411" s="5" t="str">
        <f t="array" ref="P411">IFERROR(INDEX(C:C,SMALL(IF($I$2:$I$450="ERROR", ROW($C$2:$C$450)),ROW()-1)), "")</f>
        <v/>
      </c>
      <c r="Q411" s="5" t="str">
        <f t="array" ref="Q411">IFERROR(INDEX(G:G,SMALL(IF($I$2:$I$450="ERROR", ROW($G$2:$G$450)),ROW()-1)), "")</f>
        <v/>
      </c>
      <c r="R411" s="8" t="str">
        <f t="shared" si="13"/>
        <v/>
      </c>
    </row>
    <row r="412" spans="1:18" x14ac:dyDescent="0.45">
      <c r="A412" s="3" t="s">
        <v>833</v>
      </c>
      <c r="B412" s="1" t="s">
        <v>412</v>
      </c>
      <c r="C412" s="5">
        <v>0.01</v>
      </c>
      <c r="D412" s="4">
        <v>7595</v>
      </c>
      <c r="E412" s="4">
        <v>7595</v>
      </c>
      <c r="F412" s="4">
        <v>7530</v>
      </c>
      <c r="G412" s="5">
        <v>8.558262014483212E-3</v>
      </c>
      <c r="H412" s="6"/>
      <c r="I412" s="2" t="str">
        <f t="shared" si="12"/>
        <v>-</v>
      </c>
      <c r="J412" s="1" t="str">
        <f>IF(I412="ERROR",BeepMe(),"")</f>
        <v/>
      </c>
      <c r="M412" s="2" t="str">
        <f t="array" ref="M412">IFERROR(INDEX(I:I,SMALL(IF($I$2:$I$450="ERROR", ROW($I$2:$I$450)),ROW()-1)), "")</f>
        <v/>
      </c>
      <c r="N412" s="2" t="str">
        <f t="array" ref="N412">IFERROR(INDEX(A:A,SMALL(IF($I$2:$I$450="ERROR", ROW($A$2:$A$450)),ROW()-1)), "")</f>
        <v/>
      </c>
      <c r="O412" s="2" t="str">
        <f t="array" ref="O412">IFERROR(INDEX(B:B,SMALL(IF($I$2:$I$450="ERROR", ROW($B$2:$B$450)),ROW()-1)), "")</f>
        <v/>
      </c>
      <c r="P412" s="5" t="str">
        <f t="array" ref="P412">IFERROR(INDEX(C:C,SMALL(IF($I$2:$I$450="ERROR", ROW($C$2:$C$450)),ROW()-1)), "")</f>
        <v/>
      </c>
      <c r="Q412" s="5" t="str">
        <f t="array" ref="Q412">IFERROR(INDEX(G:G,SMALL(IF($I$2:$I$450="ERROR", ROW($G$2:$G$450)),ROW()-1)), "")</f>
        <v/>
      </c>
      <c r="R412" s="8" t="str">
        <f t="shared" si="13"/>
        <v/>
      </c>
    </row>
    <row r="413" spans="1:18" x14ac:dyDescent="0.45">
      <c r="A413" s="3" t="s">
        <v>834</v>
      </c>
      <c r="B413" s="1" t="s">
        <v>413</v>
      </c>
      <c r="C413" s="5">
        <v>0.01</v>
      </c>
      <c r="D413" s="4">
        <v>11600</v>
      </c>
      <c r="E413" s="4">
        <v>11600</v>
      </c>
      <c r="F413" s="4">
        <v>11590</v>
      </c>
      <c r="G413" s="5">
        <v>8.6206896551724137E-4</v>
      </c>
      <c r="H413" s="6"/>
      <c r="I413" s="2" t="str">
        <f t="shared" si="12"/>
        <v>-</v>
      </c>
      <c r="J413" s="1" t="str">
        <f>IF(I413="ERROR",BeepMe(),"")</f>
        <v/>
      </c>
      <c r="M413" s="2" t="str">
        <f t="array" ref="M413">IFERROR(INDEX(I:I,SMALL(IF($I$2:$I$450="ERROR", ROW($I$2:$I$450)),ROW()-1)), "")</f>
        <v/>
      </c>
      <c r="N413" s="2" t="str">
        <f t="array" ref="N413">IFERROR(INDEX(A:A,SMALL(IF($I$2:$I$450="ERROR", ROW($A$2:$A$450)),ROW()-1)), "")</f>
        <v/>
      </c>
      <c r="O413" s="2" t="str">
        <f t="array" ref="O413">IFERROR(INDEX(B:B,SMALL(IF($I$2:$I$450="ERROR", ROW($B$2:$B$450)),ROW()-1)), "")</f>
        <v/>
      </c>
      <c r="P413" s="5" t="str">
        <f t="array" ref="P413">IFERROR(INDEX(C:C,SMALL(IF($I$2:$I$450="ERROR", ROW($C$2:$C$450)),ROW()-1)), "")</f>
        <v/>
      </c>
      <c r="Q413" s="5" t="str">
        <f t="array" ref="Q413">IFERROR(INDEX(G:G,SMALL(IF($I$2:$I$450="ERROR", ROW($G$2:$G$450)),ROW()-1)), "")</f>
        <v/>
      </c>
      <c r="R413" s="8" t="str">
        <f t="shared" si="13"/>
        <v/>
      </c>
    </row>
    <row r="414" spans="1:18" x14ac:dyDescent="0.45">
      <c r="A414" s="3" t="s">
        <v>835</v>
      </c>
      <c r="B414" s="1" t="s">
        <v>414</v>
      </c>
      <c r="C414" s="5">
        <v>5.0000000000000001E-3</v>
      </c>
      <c r="D414" s="4">
        <v>10265</v>
      </c>
      <c r="E414" s="4">
        <v>10270</v>
      </c>
      <c r="F414" s="4">
        <v>10265</v>
      </c>
      <c r="G414" s="5">
        <v>4.8709206039941551E-4</v>
      </c>
      <c r="H414" s="6"/>
      <c r="I414" s="2" t="str">
        <f t="shared" si="12"/>
        <v>-</v>
      </c>
      <c r="J414" s="1" t="str">
        <f>IF(I414="ERROR",BeepMe(),"")</f>
        <v/>
      </c>
      <c r="M414" s="2" t="str">
        <f t="array" ref="M414">IFERROR(INDEX(I:I,SMALL(IF($I$2:$I$450="ERROR", ROW($I$2:$I$450)),ROW()-1)), "")</f>
        <v/>
      </c>
      <c r="N414" s="2" t="str">
        <f t="array" ref="N414">IFERROR(INDEX(A:A,SMALL(IF($I$2:$I$450="ERROR", ROW($A$2:$A$450)),ROW()-1)), "")</f>
        <v/>
      </c>
      <c r="O414" s="2" t="str">
        <f t="array" ref="O414">IFERROR(INDEX(B:B,SMALL(IF($I$2:$I$450="ERROR", ROW($B$2:$B$450)),ROW()-1)), "")</f>
        <v/>
      </c>
      <c r="P414" s="5" t="str">
        <f t="array" ref="P414">IFERROR(INDEX(C:C,SMALL(IF($I$2:$I$450="ERROR", ROW($C$2:$C$450)),ROW()-1)), "")</f>
        <v/>
      </c>
      <c r="Q414" s="5" t="str">
        <f t="array" ref="Q414">IFERROR(INDEX(G:G,SMALL(IF($I$2:$I$450="ERROR", ROW($G$2:$G$450)),ROW()-1)), "")</f>
        <v/>
      </c>
      <c r="R414" s="8" t="str">
        <f t="shared" si="13"/>
        <v/>
      </c>
    </row>
    <row r="415" spans="1:18" x14ac:dyDescent="0.45">
      <c r="A415" s="3" t="s">
        <v>836</v>
      </c>
      <c r="B415" s="1" t="s">
        <v>415</v>
      </c>
      <c r="C415" s="5">
        <v>0.01</v>
      </c>
      <c r="D415" s="4">
        <v>10420</v>
      </c>
      <c r="E415" s="4">
        <v>10420</v>
      </c>
      <c r="F415" s="4">
        <v>10400</v>
      </c>
      <c r="G415" s="5">
        <v>1.9193857965451055E-3</v>
      </c>
      <c r="H415" s="6"/>
      <c r="I415" s="2" t="str">
        <f t="shared" si="12"/>
        <v>-</v>
      </c>
      <c r="J415" s="1" t="str">
        <f>IF(I415="ERROR",BeepMe(),"")</f>
        <v/>
      </c>
      <c r="M415" s="2" t="str">
        <f t="array" ref="M415">IFERROR(INDEX(I:I,SMALL(IF($I$2:$I$450="ERROR", ROW($I$2:$I$450)),ROW()-1)), "")</f>
        <v/>
      </c>
      <c r="N415" s="2" t="str">
        <f t="array" ref="N415">IFERROR(INDEX(A:A,SMALL(IF($I$2:$I$450="ERROR", ROW($A$2:$A$450)),ROW()-1)), "")</f>
        <v/>
      </c>
      <c r="O415" s="2" t="str">
        <f t="array" ref="O415">IFERROR(INDEX(B:B,SMALL(IF($I$2:$I$450="ERROR", ROW($B$2:$B$450)),ROW()-1)), "")</f>
        <v/>
      </c>
      <c r="P415" s="5" t="str">
        <f t="array" ref="P415">IFERROR(INDEX(C:C,SMALL(IF($I$2:$I$450="ERROR", ROW($C$2:$C$450)),ROW()-1)), "")</f>
        <v/>
      </c>
      <c r="Q415" s="5" t="str">
        <f t="array" ref="Q415">IFERROR(INDEX(G:G,SMALL(IF($I$2:$I$450="ERROR", ROW($G$2:$G$450)),ROW()-1)), "")</f>
        <v/>
      </c>
      <c r="R415" s="8" t="str">
        <f t="shared" si="13"/>
        <v/>
      </c>
    </row>
    <row r="416" spans="1:18" x14ac:dyDescent="0.45">
      <c r="A416" s="3" t="s">
        <v>837</v>
      </c>
      <c r="B416" s="1" t="s">
        <v>416</v>
      </c>
      <c r="C416" s="5">
        <v>0.01</v>
      </c>
      <c r="D416" s="4">
        <v>9660</v>
      </c>
      <c r="E416" s="4">
        <v>9665</v>
      </c>
      <c r="F416" s="4">
        <v>9660</v>
      </c>
      <c r="G416" s="5">
        <v>5.1759834368530024E-4</v>
      </c>
      <c r="H416" s="6"/>
      <c r="I416" s="2" t="str">
        <f t="shared" si="12"/>
        <v>-</v>
      </c>
      <c r="J416" s="1" t="str">
        <f>IF(I416="ERROR",BeepMe(),"")</f>
        <v/>
      </c>
      <c r="M416" s="2" t="str">
        <f t="array" ref="M416">IFERROR(INDEX(I:I,SMALL(IF($I$2:$I$450="ERROR", ROW($I$2:$I$450)),ROW()-1)), "")</f>
        <v/>
      </c>
      <c r="N416" s="2" t="str">
        <f t="array" ref="N416">IFERROR(INDEX(A:A,SMALL(IF($I$2:$I$450="ERROR", ROW($A$2:$A$450)),ROW()-1)), "")</f>
        <v/>
      </c>
      <c r="O416" s="2" t="str">
        <f t="array" ref="O416">IFERROR(INDEX(B:B,SMALL(IF($I$2:$I$450="ERROR", ROW($B$2:$B$450)),ROW()-1)), "")</f>
        <v/>
      </c>
      <c r="P416" s="5" t="str">
        <f t="array" ref="P416">IFERROR(INDEX(C:C,SMALL(IF($I$2:$I$450="ERROR", ROW($C$2:$C$450)),ROW()-1)), "")</f>
        <v/>
      </c>
      <c r="Q416" s="5" t="str">
        <f t="array" ref="Q416">IFERROR(INDEX(G:G,SMALL(IF($I$2:$I$450="ERROR", ROW($G$2:$G$450)),ROW()-1)), "")</f>
        <v/>
      </c>
      <c r="R416" s="8" t="str">
        <f t="shared" si="13"/>
        <v/>
      </c>
    </row>
    <row r="417" spans="1:18" x14ac:dyDescent="0.45">
      <c r="A417" s="3" t="s">
        <v>838</v>
      </c>
      <c r="B417" s="1" t="s">
        <v>417</v>
      </c>
      <c r="C417" s="5">
        <v>0</v>
      </c>
      <c r="D417" s="4">
        <v>8835</v>
      </c>
      <c r="E417" s="4">
        <v>8850</v>
      </c>
      <c r="F417" s="4">
        <v>8835</v>
      </c>
      <c r="G417" s="5">
        <v>1.697792869269949E-3</v>
      </c>
      <c r="H417" s="6"/>
      <c r="I417" s="2" t="str">
        <f t="shared" si="12"/>
        <v>ERROR</v>
      </c>
      <c r="J417" s="1" t="str">
        <f>IF(I417="ERROR",BeepMe(),"")</f>
        <v/>
      </c>
      <c r="M417" s="2" t="str">
        <f t="array" ref="M417">IFERROR(INDEX(I:I,SMALL(IF($I$2:$I$450="ERROR", ROW($I$2:$I$450)),ROW()-1)), "")</f>
        <v/>
      </c>
      <c r="N417" s="2" t="str">
        <f t="array" ref="N417">IFERROR(INDEX(A:A,SMALL(IF($I$2:$I$450="ERROR", ROW($A$2:$A$450)),ROW()-1)), "")</f>
        <v/>
      </c>
      <c r="O417" s="2" t="str">
        <f t="array" ref="O417">IFERROR(INDEX(B:B,SMALL(IF($I$2:$I$450="ERROR", ROW($B$2:$B$450)),ROW()-1)), "")</f>
        <v/>
      </c>
      <c r="P417" s="5" t="str">
        <f t="array" ref="P417">IFERROR(INDEX(C:C,SMALL(IF($I$2:$I$450="ERROR", ROW($C$2:$C$450)),ROW()-1)), "")</f>
        <v/>
      </c>
      <c r="Q417" s="5" t="str">
        <f t="array" ref="Q417">IFERROR(INDEX(G:G,SMALL(IF($I$2:$I$450="ERROR", ROW($G$2:$G$450)),ROW()-1)), "")</f>
        <v/>
      </c>
      <c r="R417" s="8" t="str">
        <f t="shared" si="13"/>
        <v/>
      </c>
    </row>
    <row r="418" spans="1:18" x14ac:dyDescent="0.45">
      <c r="A418" s="3" t="s">
        <v>839</v>
      </c>
      <c r="B418" s="1" t="s">
        <v>418</v>
      </c>
      <c r="C418" s="5">
        <v>5.0000000000000001E-3</v>
      </c>
      <c r="D418" s="4">
        <v>10005</v>
      </c>
      <c r="E418" s="4">
        <v>10005</v>
      </c>
      <c r="F418" s="4">
        <v>9995</v>
      </c>
      <c r="G418" s="5">
        <v>9.9950024987506244E-4</v>
      </c>
      <c r="H418" s="6"/>
      <c r="I418" s="2" t="str">
        <f t="shared" si="12"/>
        <v>-</v>
      </c>
      <c r="J418" s="1" t="str">
        <f>IF(I418="ERROR",BeepMe(),"")</f>
        <v/>
      </c>
      <c r="M418" s="2" t="str">
        <f t="array" ref="M418">IFERROR(INDEX(I:I,SMALL(IF($I$2:$I$450="ERROR", ROW($I$2:$I$450)),ROW()-1)), "")</f>
        <v/>
      </c>
      <c r="N418" s="2" t="str">
        <f t="array" ref="N418">IFERROR(INDEX(A:A,SMALL(IF($I$2:$I$450="ERROR", ROW($A$2:$A$450)),ROW()-1)), "")</f>
        <v/>
      </c>
      <c r="O418" s="2" t="str">
        <f t="array" ref="O418">IFERROR(INDEX(B:B,SMALL(IF($I$2:$I$450="ERROR", ROW($B$2:$B$450)),ROW()-1)), "")</f>
        <v/>
      </c>
      <c r="P418" s="5" t="str">
        <f t="array" ref="P418">IFERROR(INDEX(C:C,SMALL(IF($I$2:$I$450="ERROR", ROW($C$2:$C$450)),ROW()-1)), "")</f>
        <v/>
      </c>
      <c r="Q418" s="5" t="str">
        <f t="array" ref="Q418">IFERROR(INDEX(G:G,SMALL(IF($I$2:$I$450="ERROR", ROW($G$2:$G$450)),ROW()-1)), "")</f>
        <v/>
      </c>
      <c r="R418" s="8" t="str">
        <f t="shared" si="13"/>
        <v/>
      </c>
    </row>
    <row r="419" spans="1:18" x14ac:dyDescent="0.45">
      <c r="A419" s="3" t="s">
        <v>840</v>
      </c>
      <c r="B419" s="1" t="s">
        <v>419</v>
      </c>
      <c r="C419" s="5">
        <v>5.0000000000000001E-3</v>
      </c>
      <c r="D419" s="4">
        <v>10205</v>
      </c>
      <c r="E419" s="4">
        <v>10205</v>
      </c>
      <c r="F419" s="4">
        <v>10200</v>
      </c>
      <c r="G419" s="5">
        <v>4.8995590396864281E-4</v>
      </c>
      <c r="H419" s="6"/>
      <c r="I419" s="2" t="str">
        <f t="shared" si="12"/>
        <v>-</v>
      </c>
      <c r="J419" s="1" t="str">
        <f>IF(I419="ERROR",BeepMe(),"")</f>
        <v/>
      </c>
      <c r="M419" s="2" t="str">
        <f t="array" ref="M419">IFERROR(INDEX(I:I,SMALL(IF($I$2:$I$450="ERROR", ROW($I$2:$I$450)),ROW()-1)), "")</f>
        <v/>
      </c>
      <c r="N419" s="2" t="str">
        <f t="array" ref="N419">IFERROR(INDEX(A:A,SMALL(IF($I$2:$I$450="ERROR", ROW($A$2:$A$450)),ROW()-1)), "")</f>
        <v/>
      </c>
      <c r="O419" s="2" t="str">
        <f t="array" ref="O419">IFERROR(INDEX(B:B,SMALL(IF($I$2:$I$450="ERROR", ROW($B$2:$B$450)),ROW()-1)), "")</f>
        <v/>
      </c>
      <c r="P419" s="5" t="str">
        <f t="array" ref="P419">IFERROR(INDEX(C:C,SMALL(IF($I$2:$I$450="ERROR", ROW($C$2:$C$450)),ROW()-1)), "")</f>
        <v/>
      </c>
      <c r="Q419" s="5" t="str">
        <f t="array" ref="Q419">IFERROR(INDEX(G:G,SMALL(IF($I$2:$I$450="ERROR", ROW($G$2:$G$450)),ROW()-1)), "")</f>
        <v/>
      </c>
      <c r="R419" s="8" t="str">
        <f t="shared" si="13"/>
        <v/>
      </c>
    </row>
  </sheetData>
  <phoneticPr fontId="2" type="noConversion"/>
  <conditionalFormatting sqref="I2:I419">
    <cfRule type="containsText" dxfId="0" priority="1" operator="containsText" text="ERROR">
      <formula>NOT(ISERROR(SEARCH("ERROR",I2)))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600"/>
  <sheetViews>
    <sheetView workbookViewId="0">
      <selection activeCell="A2" sqref="A2:E23"/>
    </sheetView>
  </sheetViews>
  <sheetFormatPr defaultColWidth="9" defaultRowHeight="16" x14ac:dyDescent="0.45"/>
  <cols>
    <col min="1" max="1" width="22.75" style="14" bestFit="1" customWidth="1"/>
    <col min="2" max="2" width="28" style="2" bestFit="1" customWidth="1"/>
    <col min="3" max="3" width="14.33203125" style="2" bestFit="1" customWidth="1"/>
    <col min="4" max="4" width="16.5" style="2" bestFit="1" customWidth="1"/>
    <col min="5" max="5" width="14.83203125" style="19" bestFit="1" customWidth="1"/>
    <col min="6" max="16384" width="9" style="1"/>
  </cols>
  <sheetData>
    <row r="1" spans="1:5" ht="27" customHeight="1" x14ac:dyDescent="0.45">
      <c r="A1" s="13" t="s">
        <v>852</v>
      </c>
      <c r="B1" s="9" t="s">
        <v>853</v>
      </c>
      <c r="C1" s="9" t="s">
        <v>854</v>
      </c>
      <c r="D1" s="9" t="s">
        <v>851</v>
      </c>
      <c r="E1" s="9" t="s">
        <v>855</v>
      </c>
    </row>
    <row r="2" spans="1:5" x14ac:dyDescent="0.45">
      <c r="C2" s="16"/>
      <c r="D2" s="17"/>
      <c r="E2" s="18"/>
    </row>
    <row r="3" spans="1:5" x14ac:dyDescent="0.45">
      <c r="A3" s="15"/>
      <c r="C3" s="16"/>
      <c r="D3" s="17"/>
      <c r="E3" s="18"/>
    </row>
    <row r="4" spans="1:5" x14ac:dyDescent="0.45">
      <c r="A4" s="15"/>
      <c r="C4" s="16"/>
      <c r="D4" s="17"/>
      <c r="E4" s="18"/>
    </row>
    <row r="5" spans="1:5" x14ac:dyDescent="0.45">
      <c r="C5" s="17"/>
      <c r="D5" s="17"/>
    </row>
    <row r="6" spans="1:5" x14ac:dyDescent="0.45">
      <c r="C6" s="17"/>
      <c r="D6" s="17"/>
    </row>
    <row r="7" spans="1:5" x14ac:dyDescent="0.45">
      <c r="C7" s="17"/>
      <c r="D7" s="17"/>
    </row>
    <row r="8" spans="1:5" x14ac:dyDescent="0.45">
      <c r="C8" s="17"/>
      <c r="D8" s="17"/>
    </row>
    <row r="9" spans="1:5" x14ac:dyDescent="0.45">
      <c r="C9" s="17"/>
      <c r="D9" s="17"/>
    </row>
    <row r="10" spans="1:5" x14ac:dyDescent="0.45">
      <c r="C10" s="17"/>
      <c r="D10" s="17"/>
    </row>
    <row r="11" spans="1:5" x14ac:dyDescent="0.45">
      <c r="C11" s="17"/>
      <c r="D11" s="17"/>
    </row>
    <row r="12" spans="1:5" x14ac:dyDescent="0.45">
      <c r="C12" s="17"/>
      <c r="D12" s="17"/>
    </row>
    <row r="13" spans="1:5" x14ac:dyDescent="0.45">
      <c r="C13" s="17"/>
      <c r="D13" s="17"/>
    </row>
    <row r="14" spans="1:5" x14ac:dyDescent="0.45">
      <c r="C14" s="17"/>
      <c r="D14" s="17"/>
    </row>
    <row r="15" spans="1:5" x14ac:dyDescent="0.45">
      <c r="C15" s="17"/>
      <c r="D15" s="17"/>
    </row>
    <row r="16" spans="1:5" x14ac:dyDescent="0.45">
      <c r="C16" s="17"/>
      <c r="D16" s="17"/>
    </row>
    <row r="17" spans="2:4" x14ac:dyDescent="0.45">
      <c r="C17" s="17"/>
      <c r="D17" s="17"/>
    </row>
    <row r="18" spans="2:4" x14ac:dyDescent="0.45">
      <c r="C18" s="17"/>
      <c r="D18" s="17"/>
    </row>
    <row r="19" spans="2:4" x14ac:dyDescent="0.45">
      <c r="C19" s="17"/>
      <c r="D19" s="17"/>
    </row>
    <row r="20" spans="2:4" x14ac:dyDescent="0.45">
      <c r="C20" s="17"/>
      <c r="D20" s="17"/>
    </row>
    <row r="21" spans="2:4" x14ac:dyDescent="0.45">
      <c r="C21" s="17"/>
      <c r="D21" s="17"/>
    </row>
    <row r="22" spans="2:4" x14ac:dyDescent="0.45">
      <c r="C22" s="17"/>
      <c r="D22" s="17"/>
    </row>
    <row r="23" spans="2:4" x14ac:dyDescent="0.45">
      <c r="C23" s="17"/>
      <c r="D23" s="17"/>
    </row>
    <row r="24" spans="2:4" x14ac:dyDescent="0.45">
      <c r="B24" s="2" t="str">
        <f>_xlfn.IFNA(VLOOKUP(A24,'신고 스프레드 확인'!$A$2:$B$1000,2,FALSE),"-")</f>
        <v>-</v>
      </c>
    </row>
    <row r="25" spans="2:4" x14ac:dyDescent="0.45">
      <c r="B25" s="2" t="str">
        <f>_xlfn.IFNA(VLOOKUP(A25,'신고 스프레드 확인'!$A$2:$B$1000,2,FALSE),"-")</f>
        <v>-</v>
      </c>
    </row>
    <row r="26" spans="2:4" x14ac:dyDescent="0.45">
      <c r="B26" s="2" t="str">
        <f>_xlfn.IFNA(VLOOKUP(A26,'신고 스프레드 확인'!$A$2:$B$1000,2,FALSE),"-")</f>
        <v>-</v>
      </c>
    </row>
    <row r="27" spans="2:4" x14ac:dyDescent="0.45">
      <c r="B27" s="2" t="str">
        <f>_xlfn.IFNA(VLOOKUP(A27,'신고 스프레드 확인'!$A$2:$B$1000,2,FALSE),"-")</f>
        <v>-</v>
      </c>
    </row>
    <row r="28" spans="2:4" x14ac:dyDescent="0.45">
      <c r="B28" s="2" t="str">
        <f>_xlfn.IFNA(VLOOKUP(A28,'신고 스프레드 확인'!$A$2:$B$1000,2,FALSE),"-")</f>
        <v>-</v>
      </c>
    </row>
    <row r="29" spans="2:4" x14ac:dyDescent="0.45">
      <c r="B29" s="2" t="str">
        <f>_xlfn.IFNA(VLOOKUP(A29,'신고 스프레드 확인'!$A$2:$B$1000,2,FALSE),"-")</f>
        <v>-</v>
      </c>
    </row>
    <row r="30" spans="2:4" x14ac:dyDescent="0.45">
      <c r="B30" s="2" t="str">
        <f>_xlfn.IFNA(VLOOKUP(A30,'신고 스프레드 확인'!$A$2:$B$1000,2,FALSE),"-")</f>
        <v>-</v>
      </c>
    </row>
    <row r="31" spans="2:4" x14ac:dyDescent="0.45">
      <c r="B31" s="2" t="str">
        <f>_xlfn.IFNA(VLOOKUP(A31,'신고 스프레드 확인'!$A$2:$B$1000,2,FALSE),"-")</f>
        <v>-</v>
      </c>
    </row>
    <row r="32" spans="2:4" x14ac:dyDescent="0.45">
      <c r="B32" s="2" t="str">
        <f>_xlfn.IFNA(VLOOKUP(A32,'신고 스프레드 확인'!$A$2:$B$1000,2,FALSE),"-")</f>
        <v>-</v>
      </c>
    </row>
    <row r="33" spans="2:2" x14ac:dyDescent="0.45">
      <c r="B33" s="2" t="str">
        <f>_xlfn.IFNA(VLOOKUP(A33,'신고 스프레드 확인'!$A$2:$B$1000,2,FALSE),"-")</f>
        <v>-</v>
      </c>
    </row>
    <row r="34" spans="2:2" x14ac:dyDescent="0.45">
      <c r="B34" s="2" t="str">
        <f>_xlfn.IFNA(VLOOKUP(A34,'신고 스프레드 확인'!$A$2:$B$1000,2,FALSE),"-")</f>
        <v>-</v>
      </c>
    </row>
    <row r="35" spans="2:2" x14ac:dyDescent="0.45">
      <c r="B35" s="2" t="str">
        <f>_xlfn.IFNA(VLOOKUP(A35,'신고 스프레드 확인'!$A$2:$B$1000,2,FALSE),"-")</f>
        <v>-</v>
      </c>
    </row>
    <row r="36" spans="2:2" x14ac:dyDescent="0.45">
      <c r="B36" s="2" t="str">
        <f>_xlfn.IFNA(VLOOKUP(A36,'신고 스프레드 확인'!$A$2:$B$1000,2,FALSE),"-")</f>
        <v>-</v>
      </c>
    </row>
    <row r="37" spans="2:2" x14ac:dyDescent="0.45">
      <c r="B37" s="2" t="str">
        <f>_xlfn.IFNA(VLOOKUP(A37,'신고 스프레드 확인'!$A$2:$B$1000,2,FALSE),"-")</f>
        <v>-</v>
      </c>
    </row>
    <row r="38" spans="2:2" x14ac:dyDescent="0.45">
      <c r="B38" s="2" t="str">
        <f>_xlfn.IFNA(VLOOKUP(A38,'신고 스프레드 확인'!$A$2:$B$1000,2,FALSE),"-")</f>
        <v>-</v>
      </c>
    </row>
    <row r="39" spans="2:2" x14ac:dyDescent="0.45">
      <c r="B39" s="2" t="str">
        <f>_xlfn.IFNA(VLOOKUP(A39,'신고 스프레드 확인'!$A$2:$B$1000,2,FALSE),"-")</f>
        <v>-</v>
      </c>
    </row>
    <row r="40" spans="2:2" x14ac:dyDescent="0.45">
      <c r="B40" s="2" t="str">
        <f>_xlfn.IFNA(VLOOKUP(A40,'신고 스프레드 확인'!$A$2:$B$1000,2,FALSE),"-")</f>
        <v>-</v>
      </c>
    </row>
    <row r="41" spans="2:2" x14ac:dyDescent="0.45">
      <c r="B41" s="2" t="str">
        <f>_xlfn.IFNA(VLOOKUP(A41,'신고 스프레드 확인'!$A$2:$B$1000,2,FALSE),"-")</f>
        <v>-</v>
      </c>
    </row>
    <row r="42" spans="2:2" x14ac:dyDescent="0.45">
      <c r="B42" s="2" t="str">
        <f>_xlfn.IFNA(VLOOKUP(A42,'신고 스프레드 확인'!$A$2:$B$1000,2,FALSE),"-")</f>
        <v>-</v>
      </c>
    </row>
    <row r="43" spans="2:2" x14ac:dyDescent="0.45">
      <c r="B43" s="2" t="str">
        <f>_xlfn.IFNA(VLOOKUP(A43,'신고 스프레드 확인'!$A$2:$B$1000,2,FALSE),"-")</f>
        <v>-</v>
      </c>
    </row>
    <row r="44" spans="2:2" x14ac:dyDescent="0.45">
      <c r="B44" s="2" t="str">
        <f>_xlfn.IFNA(VLOOKUP(A44,'신고 스프레드 확인'!$A$2:$B$1000,2,FALSE),"-")</f>
        <v>-</v>
      </c>
    </row>
    <row r="45" spans="2:2" x14ac:dyDescent="0.45">
      <c r="B45" s="2" t="str">
        <f>_xlfn.IFNA(VLOOKUP(A45,'신고 스프레드 확인'!$A$2:$B$1000,2,FALSE),"-")</f>
        <v>-</v>
      </c>
    </row>
    <row r="46" spans="2:2" x14ac:dyDescent="0.45">
      <c r="B46" s="2" t="str">
        <f>_xlfn.IFNA(VLOOKUP(A46,'신고 스프레드 확인'!$A$2:$B$1000,2,FALSE),"-")</f>
        <v>-</v>
      </c>
    </row>
    <row r="47" spans="2:2" x14ac:dyDescent="0.45">
      <c r="B47" s="2" t="str">
        <f>_xlfn.IFNA(VLOOKUP(A47,'신고 스프레드 확인'!$A$2:$B$1000,2,FALSE),"-")</f>
        <v>-</v>
      </c>
    </row>
    <row r="48" spans="2:2" x14ac:dyDescent="0.45">
      <c r="B48" s="2" t="str">
        <f>_xlfn.IFNA(VLOOKUP(A48,'신고 스프레드 확인'!$A$2:$B$1000,2,FALSE),"-")</f>
        <v>-</v>
      </c>
    </row>
    <row r="49" spans="2:2" x14ac:dyDescent="0.45">
      <c r="B49" s="2" t="str">
        <f>_xlfn.IFNA(VLOOKUP(A49,'신고 스프레드 확인'!$A$2:$B$1000,2,FALSE),"-")</f>
        <v>-</v>
      </c>
    </row>
    <row r="50" spans="2:2" x14ac:dyDescent="0.45">
      <c r="B50" s="2" t="str">
        <f>_xlfn.IFNA(VLOOKUP(A50,'신고 스프레드 확인'!$A$2:$B$1000,2,FALSE),"-")</f>
        <v>-</v>
      </c>
    </row>
    <row r="51" spans="2:2" x14ac:dyDescent="0.45">
      <c r="B51" s="2" t="str">
        <f>_xlfn.IFNA(VLOOKUP(A51,'신고 스프레드 확인'!$A$2:$B$1000,2,FALSE),"-")</f>
        <v>-</v>
      </c>
    </row>
    <row r="52" spans="2:2" x14ac:dyDescent="0.45">
      <c r="B52" s="2" t="str">
        <f>_xlfn.IFNA(VLOOKUP(A52,'신고 스프레드 확인'!$A$2:$B$1000,2,FALSE),"-")</f>
        <v>-</v>
      </c>
    </row>
    <row r="53" spans="2:2" x14ac:dyDescent="0.45">
      <c r="B53" s="2" t="str">
        <f>_xlfn.IFNA(VLOOKUP(A53,'신고 스프레드 확인'!$A$2:$B$1000,2,FALSE),"-")</f>
        <v>-</v>
      </c>
    </row>
    <row r="54" spans="2:2" x14ac:dyDescent="0.45">
      <c r="B54" s="2" t="str">
        <f>_xlfn.IFNA(VLOOKUP(A54,'신고 스프레드 확인'!$A$2:$B$1000,2,FALSE),"-")</f>
        <v>-</v>
      </c>
    </row>
    <row r="55" spans="2:2" x14ac:dyDescent="0.45">
      <c r="B55" s="2" t="str">
        <f>_xlfn.IFNA(VLOOKUP(A55,'신고 스프레드 확인'!$A$2:$B$1000,2,FALSE),"-")</f>
        <v>-</v>
      </c>
    </row>
    <row r="56" spans="2:2" x14ac:dyDescent="0.45">
      <c r="B56" s="2" t="str">
        <f>_xlfn.IFNA(VLOOKUP(A56,'신고 스프레드 확인'!$A$2:$B$1000,2,FALSE),"-")</f>
        <v>-</v>
      </c>
    </row>
    <row r="57" spans="2:2" x14ac:dyDescent="0.45">
      <c r="B57" s="2" t="str">
        <f>_xlfn.IFNA(VLOOKUP(A57,'신고 스프레드 확인'!$A$2:$B$1000,2,FALSE),"-")</f>
        <v>-</v>
      </c>
    </row>
    <row r="58" spans="2:2" x14ac:dyDescent="0.45">
      <c r="B58" s="2" t="str">
        <f>_xlfn.IFNA(VLOOKUP(A58,'신고 스프레드 확인'!$A$2:$B$1000,2,FALSE),"-")</f>
        <v>-</v>
      </c>
    </row>
    <row r="59" spans="2:2" x14ac:dyDescent="0.45">
      <c r="B59" s="2" t="str">
        <f>_xlfn.IFNA(VLOOKUP(A59,'신고 스프레드 확인'!$A$2:$B$1000,2,FALSE),"-")</f>
        <v>-</v>
      </c>
    </row>
    <row r="60" spans="2:2" x14ac:dyDescent="0.45">
      <c r="B60" s="2" t="str">
        <f>_xlfn.IFNA(VLOOKUP(A60,'신고 스프레드 확인'!$A$2:$B$1000,2,FALSE),"-")</f>
        <v>-</v>
      </c>
    </row>
    <row r="61" spans="2:2" x14ac:dyDescent="0.45">
      <c r="B61" s="2" t="str">
        <f>_xlfn.IFNA(VLOOKUP(A61,'신고 스프레드 확인'!$A$2:$B$1000,2,FALSE),"-")</f>
        <v>-</v>
      </c>
    </row>
    <row r="62" spans="2:2" x14ac:dyDescent="0.45">
      <c r="B62" s="2" t="str">
        <f>_xlfn.IFNA(VLOOKUP(A62,'신고 스프레드 확인'!$A$2:$B$1000,2,FALSE),"-")</f>
        <v>-</v>
      </c>
    </row>
    <row r="63" spans="2:2" x14ac:dyDescent="0.45">
      <c r="B63" s="2" t="str">
        <f>_xlfn.IFNA(VLOOKUP(A63,'신고 스프레드 확인'!$A$2:$B$1000,2,FALSE),"-")</f>
        <v>-</v>
      </c>
    </row>
    <row r="64" spans="2:2" x14ac:dyDescent="0.45">
      <c r="B64" s="2" t="str">
        <f>_xlfn.IFNA(VLOOKUP(A64,'신고 스프레드 확인'!$A$2:$B$1000,2,FALSE),"-")</f>
        <v>-</v>
      </c>
    </row>
    <row r="65" spans="2:2" x14ac:dyDescent="0.45">
      <c r="B65" s="2" t="str">
        <f>_xlfn.IFNA(VLOOKUP(A65,'신고 스프레드 확인'!$A$2:$B$1000,2,FALSE),"-")</f>
        <v>-</v>
      </c>
    </row>
    <row r="66" spans="2:2" x14ac:dyDescent="0.45">
      <c r="B66" s="2" t="str">
        <f>_xlfn.IFNA(VLOOKUP(A66,'신고 스프레드 확인'!$A$2:$B$1000,2,FALSE),"-")</f>
        <v>-</v>
      </c>
    </row>
    <row r="67" spans="2:2" x14ac:dyDescent="0.45">
      <c r="B67" s="2" t="str">
        <f>_xlfn.IFNA(VLOOKUP(A67,'신고 스프레드 확인'!$A$2:$B$1000,2,FALSE),"-")</f>
        <v>-</v>
      </c>
    </row>
    <row r="68" spans="2:2" x14ac:dyDescent="0.45">
      <c r="B68" s="2" t="str">
        <f>_xlfn.IFNA(VLOOKUP(A68,'신고 스프레드 확인'!$A$2:$B$1000,2,FALSE),"-")</f>
        <v>-</v>
      </c>
    </row>
    <row r="69" spans="2:2" x14ac:dyDescent="0.45">
      <c r="B69" s="2" t="str">
        <f>_xlfn.IFNA(VLOOKUP(A69,'신고 스프레드 확인'!$A$2:$B$1000,2,FALSE),"-")</f>
        <v>-</v>
      </c>
    </row>
    <row r="70" spans="2:2" x14ac:dyDescent="0.45">
      <c r="B70" s="2" t="str">
        <f>_xlfn.IFNA(VLOOKUP(A70,'신고 스프레드 확인'!$A$2:$B$1000,2,FALSE),"-")</f>
        <v>-</v>
      </c>
    </row>
    <row r="71" spans="2:2" x14ac:dyDescent="0.45">
      <c r="B71" s="2" t="str">
        <f>_xlfn.IFNA(VLOOKUP(A71,'신고 스프레드 확인'!$A$2:$B$1000,2,FALSE),"-")</f>
        <v>-</v>
      </c>
    </row>
    <row r="72" spans="2:2" x14ac:dyDescent="0.45">
      <c r="B72" s="2" t="str">
        <f>_xlfn.IFNA(VLOOKUP(A72,'신고 스프레드 확인'!$A$2:$B$1000,2,FALSE),"-")</f>
        <v>-</v>
      </c>
    </row>
    <row r="73" spans="2:2" x14ac:dyDescent="0.45">
      <c r="B73" s="2" t="str">
        <f>_xlfn.IFNA(VLOOKUP(A73,'신고 스프레드 확인'!$A$2:$B$1000,2,FALSE),"-")</f>
        <v>-</v>
      </c>
    </row>
    <row r="74" spans="2:2" x14ac:dyDescent="0.45">
      <c r="B74" s="2" t="str">
        <f>_xlfn.IFNA(VLOOKUP(A74,'신고 스프레드 확인'!$A$2:$B$1000,2,FALSE),"-")</f>
        <v>-</v>
      </c>
    </row>
    <row r="75" spans="2:2" x14ac:dyDescent="0.45">
      <c r="B75" s="2" t="str">
        <f>_xlfn.IFNA(VLOOKUP(A75,'신고 스프레드 확인'!$A$2:$B$1000,2,FALSE),"-")</f>
        <v>-</v>
      </c>
    </row>
    <row r="76" spans="2:2" x14ac:dyDescent="0.45">
      <c r="B76" s="2" t="str">
        <f>_xlfn.IFNA(VLOOKUP(A76,'신고 스프레드 확인'!$A$2:$B$1000,2,FALSE),"-")</f>
        <v>-</v>
      </c>
    </row>
    <row r="77" spans="2:2" x14ac:dyDescent="0.45">
      <c r="B77" s="2" t="str">
        <f>_xlfn.IFNA(VLOOKUP(A77,'신고 스프레드 확인'!$A$2:$B$1000,2,FALSE),"-")</f>
        <v>-</v>
      </c>
    </row>
    <row r="78" spans="2:2" x14ac:dyDescent="0.45">
      <c r="B78" s="2" t="str">
        <f>_xlfn.IFNA(VLOOKUP(A78,'신고 스프레드 확인'!$A$2:$B$1000,2,FALSE),"-")</f>
        <v>-</v>
      </c>
    </row>
    <row r="79" spans="2:2" x14ac:dyDescent="0.45">
      <c r="B79" s="2" t="str">
        <f>_xlfn.IFNA(VLOOKUP(A79,'신고 스프레드 확인'!$A$2:$B$1000,2,FALSE),"-")</f>
        <v>-</v>
      </c>
    </row>
    <row r="80" spans="2:2" x14ac:dyDescent="0.45">
      <c r="B80" s="2" t="str">
        <f>_xlfn.IFNA(VLOOKUP(A80,'신고 스프레드 확인'!$A$2:$B$1000,2,FALSE),"-")</f>
        <v>-</v>
      </c>
    </row>
    <row r="81" spans="2:2" x14ac:dyDescent="0.45">
      <c r="B81" s="2" t="str">
        <f>_xlfn.IFNA(VLOOKUP(A81,'신고 스프레드 확인'!$A$2:$B$1000,2,FALSE),"-")</f>
        <v>-</v>
      </c>
    </row>
    <row r="82" spans="2:2" x14ac:dyDescent="0.45">
      <c r="B82" s="2" t="str">
        <f>_xlfn.IFNA(VLOOKUP(A82,'신고 스프레드 확인'!$A$2:$B$1000,2,FALSE),"-")</f>
        <v>-</v>
      </c>
    </row>
    <row r="83" spans="2:2" x14ac:dyDescent="0.45">
      <c r="B83" s="2" t="str">
        <f>_xlfn.IFNA(VLOOKUP(A83,'신고 스프레드 확인'!$A$2:$B$1000,2,FALSE),"-")</f>
        <v>-</v>
      </c>
    </row>
    <row r="84" spans="2:2" x14ac:dyDescent="0.45">
      <c r="B84" s="2" t="str">
        <f>_xlfn.IFNA(VLOOKUP(A84,'신고 스프레드 확인'!$A$2:$B$1000,2,FALSE),"-")</f>
        <v>-</v>
      </c>
    </row>
    <row r="85" spans="2:2" x14ac:dyDescent="0.45">
      <c r="B85" s="2" t="str">
        <f>_xlfn.IFNA(VLOOKUP(A85,'신고 스프레드 확인'!$A$2:$B$1000,2,FALSE),"-")</f>
        <v>-</v>
      </c>
    </row>
    <row r="86" spans="2:2" x14ac:dyDescent="0.45">
      <c r="B86" s="2" t="str">
        <f>_xlfn.IFNA(VLOOKUP(A86,'신고 스프레드 확인'!$A$2:$B$1000,2,FALSE),"-")</f>
        <v>-</v>
      </c>
    </row>
    <row r="87" spans="2:2" x14ac:dyDescent="0.45">
      <c r="B87" s="2" t="str">
        <f>_xlfn.IFNA(VLOOKUP(A87,'신고 스프레드 확인'!$A$2:$B$1000,2,FALSE),"-")</f>
        <v>-</v>
      </c>
    </row>
    <row r="88" spans="2:2" x14ac:dyDescent="0.45">
      <c r="B88" s="2" t="str">
        <f>_xlfn.IFNA(VLOOKUP(A88,'신고 스프레드 확인'!$A$2:$B$1000,2,FALSE),"-")</f>
        <v>-</v>
      </c>
    </row>
    <row r="89" spans="2:2" x14ac:dyDescent="0.45">
      <c r="B89" s="2" t="str">
        <f>_xlfn.IFNA(VLOOKUP(A89,'신고 스프레드 확인'!$A$2:$B$1000,2,FALSE),"-")</f>
        <v>-</v>
      </c>
    </row>
    <row r="90" spans="2:2" x14ac:dyDescent="0.45">
      <c r="B90" s="2" t="str">
        <f>_xlfn.IFNA(VLOOKUP(A90,'신고 스프레드 확인'!$A$2:$B$1000,2,FALSE),"-")</f>
        <v>-</v>
      </c>
    </row>
    <row r="91" spans="2:2" x14ac:dyDescent="0.45">
      <c r="B91" s="2" t="str">
        <f>_xlfn.IFNA(VLOOKUP(A91,'신고 스프레드 확인'!$A$2:$B$1000,2,FALSE),"-")</f>
        <v>-</v>
      </c>
    </row>
    <row r="92" spans="2:2" x14ac:dyDescent="0.45">
      <c r="B92" s="2" t="str">
        <f>_xlfn.IFNA(VLOOKUP(A92,'신고 스프레드 확인'!$A$2:$B$1000,2,FALSE),"-")</f>
        <v>-</v>
      </c>
    </row>
    <row r="93" spans="2:2" x14ac:dyDescent="0.45">
      <c r="B93" s="2" t="str">
        <f>_xlfn.IFNA(VLOOKUP(A93,'신고 스프레드 확인'!$A$2:$B$1000,2,FALSE),"-")</f>
        <v>-</v>
      </c>
    </row>
    <row r="94" spans="2:2" x14ac:dyDescent="0.45">
      <c r="B94" s="2" t="str">
        <f>_xlfn.IFNA(VLOOKUP(A94,'신고 스프레드 확인'!$A$2:$B$1000,2,FALSE),"-")</f>
        <v>-</v>
      </c>
    </row>
    <row r="95" spans="2:2" x14ac:dyDescent="0.45">
      <c r="B95" s="2" t="str">
        <f>_xlfn.IFNA(VLOOKUP(A95,'신고 스프레드 확인'!$A$2:$B$1000,2,FALSE),"-")</f>
        <v>-</v>
      </c>
    </row>
    <row r="96" spans="2:2" x14ac:dyDescent="0.45">
      <c r="B96" s="2" t="str">
        <f>_xlfn.IFNA(VLOOKUP(A96,'신고 스프레드 확인'!$A$2:$B$1000,2,FALSE),"-")</f>
        <v>-</v>
      </c>
    </row>
    <row r="97" spans="2:2" x14ac:dyDescent="0.45">
      <c r="B97" s="2" t="str">
        <f>_xlfn.IFNA(VLOOKUP(A97,'신고 스프레드 확인'!$A$2:$B$1000,2,FALSE),"-")</f>
        <v>-</v>
      </c>
    </row>
    <row r="98" spans="2:2" x14ac:dyDescent="0.45">
      <c r="B98" s="2" t="str">
        <f>_xlfn.IFNA(VLOOKUP(A98,'신고 스프레드 확인'!$A$2:$B$1000,2,FALSE),"-")</f>
        <v>-</v>
      </c>
    </row>
    <row r="99" spans="2:2" x14ac:dyDescent="0.45">
      <c r="B99" s="2" t="str">
        <f>_xlfn.IFNA(VLOOKUP(A99,'신고 스프레드 확인'!$A$2:$B$1000,2,FALSE),"-")</f>
        <v>-</v>
      </c>
    </row>
    <row r="100" spans="2:2" x14ac:dyDescent="0.45">
      <c r="B100" s="2" t="str">
        <f>_xlfn.IFNA(VLOOKUP(A100,'신고 스프레드 확인'!$A$2:$B$1000,2,FALSE),"-")</f>
        <v>-</v>
      </c>
    </row>
    <row r="101" spans="2:2" x14ac:dyDescent="0.45">
      <c r="B101" s="2" t="str">
        <f>_xlfn.IFNA(VLOOKUP(A101,'신고 스프레드 확인'!$A$2:$B$1000,2,FALSE),"-")</f>
        <v>-</v>
      </c>
    </row>
    <row r="102" spans="2:2" x14ac:dyDescent="0.45">
      <c r="B102" s="2" t="str">
        <f>_xlfn.IFNA(VLOOKUP(A102,'신고 스프레드 확인'!$A$2:$B$1000,2,FALSE),"-")</f>
        <v>-</v>
      </c>
    </row>
    <row r="103" spans="2:2" x14ac:dyDescent="0.45">
      <c r="B103" s="2" t="str">
        <f>_xlfn.IFNA(VLOOKUP(A103,'신고 스프레드 확인'!$A$2:$B$1000,2,FALSE),"-")</f>
        <v>-</v>
      </c>
    </row>
    <row r="104" spans="2:2" x14ac:dyDescent="0.45">
      <c r="B104" s="2" t="str">
        <f>_xlfn.IFNA(VLOOKUP(A104,'신고 스프레드 확인'!$A$2:$B$1000,2,FALSE),"-")</f>
        <v>-</v>
      </c>
    </row>
    <row r="105" spans="2:2" x14ac:dyDescent="0.45">
      <c r="B105" s="2" t="str">
        <f>_xlfn.IFNA(VLOOKUP(A105,'신고 스프레드 확인'!$A$2:$B$1000,2,FALSE),"-")</f>
        <v>-</v>
      </c>
    </row>
    <row r="106" spans="2:2" x14ac:dyDescent="0.45">
      <c r="B106" s="2" t="str">
        <f>_xlfn.IFNA(VLOOKUP(A106,'신고 스프레드 확인'!$A$2:$B$1000,2,FALSE),"-")</f>
        <v>-</v>
      </c>
    </row>
    <row r="107" spans="2:2" x14ac:dyDescent="0.45">
      <c r="B107" s="2" t="str">
        <f>_xlfn.IFNA(VLOOKUP(A107,'신고 스프레드 확인'!$A$2:$B$1000,2,FALSE),"-")</f>
        <v>-</v>
      </c>
    </row>
    <row r="108" spans="2:2" x14ac:dyDescent="0.45">
      <c r="B108" s="2" t="str">
        <f>_xlfn.IFNA(VLOOKUP(A108,'신고 스프레드 확인'!$A$2:$B$1000,2,FALSE),"-")</f>
        <v>-</v>
      </c>
    </row>
    <row r="109" spans="2:2" x14ac:dyDescent="0.45">
      <c r="B109" s="2" t="str">
        <f>_xlfn.IFNA(VLOOKUP(A109,'신고 스프레드 확인'!$A$2:$B$1000,2,FALSE),"-")</f>
        <v>-</v>
      </c>
    </row>
    <row r="110" spans="2:2" x14ac:dyDescent="0.45">
      <c r="B110" s="2" t="str">
        <f>_xlfn.IFNA(VLOOKUP(A110,'신고 스프레드 확인'!$A$2:$B$1000,2,FALSE),"-")</f>
        <v>-</v>
      </c>
    </row>
    <row r="111" spans="2:2" x14ac:dyDescent="0.45">
      <c r="B111" s="2" t="str">
        <f>_xlfn.IFNA(VLOOKUP(A111,'신고 스프레드 확인'!$A$2:$B$1000,2,FALSE),"-")</f>
        <v>-</v>
      </c>
    </row>
    <row r="112" spans="2:2" x14ac:dyDescent="0.45">
      <c r="B112" s="2" t="str">
        <f>_xlfn.IFNA(VLOOKUP(A112,'신고 스프레드 확인'!$A$2:$B$1000,2,FALSE),"-")</f>
        <v>-</v>
      </c>
    </row>
    <row r="113" spans="2:2" x14ac:dyDescent="0.45">
      <c r="B113" s="2" t="str">
        <f>_xlfn.IFNA(VLOOKUP(A113,'신고 스프레드 확인'!$A$2:$B$1000,2,FALSE),"-")</f>
        <v>-</v>
      </c>
    </row>
    <row r="114" spans="2:2" x14ac:dyDescent="0.45">
      <c r="B114" s="2" t="str">
        <f>_xlfn.IFNA(VLOOKUP(A114,'신고 스프레드 확인'!$A$2:$B$1000,2,FALSE),"-")</f>
        <v>-</v>
      </c>
    </row>
    <row r="115" spans="2:2" x14ac:dyDescent="0.45">
      <c r="B115" s="2" t="str">
        <f>_xlfn.IFNA(VLOOKUP(A115,'신고 스프레드 확인'!$A$2:$B$1000,2,FALSE),"-")</f>
        <v>-</v>
      </c>
    </row>
    <row r="116" spans="2:2" x14ac:dyDescent="0.45">
      <c r="B116" s="2" t="str">
        <f>_xlfn.IFNA(VLOOKUP(A116,'신고 스프레드 확인'!$A$2:$B$1000,2,FALSE),"-")</f>
        <v>-</v>
      </c>
    </row>
    <row r="117" spans="2:2" x14ac:dyDescent="0.45">
      <c r="B117" s="2" t="str">
        <f>_xlfn.IFNA(VLOOKUP(A117,'신고 스프레드 확인'!$A$2:$B$1000,2,FALSE),"-")</f>
        <v>-</v>
      </c>
    </row>
    <row r="118" spans="2:2" x14ac:dyDescent="0.45">
      <c r="B118" s="2" t="str">
        <f>_xlfn.IFNA(VLOOKUP(A118,'신고 스프레드 확인'!$A$2:$B$1000,2,FALSE),"-")</f>
        <v>-</v>
      </c>
    </row>
    <row r="119" spans="2:2" x14ac:dyDescent="0.45">
      <c r="B119" s="2" t="str">
        <f>_xlfn.IFNA(VLOOKUP(A119,'신고 스프레드 확인'!$A$2:$B$1000,2,FALSE),"-")</f>
        <v>-</v>
      </c>
    </row>
    <row r="120" spans="2:2" x14ac:dyDescent="0.45">
      <c r="B120" s="2" t="str">
        <f>_xlfn.IFNA(VLOOKUP(A120,'신고 스프레드 확인'!$A$2:$B$1000,2,FALSE),"-")</f>
        <v>-</v>
      </c>
    </row>
    <row r="121" spans="2:2" x14ac:dyDescent="0.45">
      <c r="B121" s="2" t="str">
        <f>_xlfn.IFNA(VLOOKUP(A121,'신고 스프레드 확인'!$A$2:$B$1000,2,FALSE),"-")</f>
        <v>-</v>
      </c>
    </row>
    <row r="122" spans="2:2" x14ac:dyDescent="0.45">
      <c r="B122" s="2" t="str">
        <f>_xlfn.IFNA(VLOOKUP(A122,'신고 스프레드 확인'!$A$2:$B$1000,2,FALSE),"-")</f>
        <v>-</v>
      </c>
    </row>
    <row r="123" spans="2:2" x14ac:dyDescent="0.45">
      <c r="B123" s="2" t="str">
        <f>_xlfn.IFNA(VLOOKUP(A123,'신고 스프레드 확인'!$A$2:$B$1000,2,FALSE),"-")</f>
        <v>-</v>
      </c>
    </row>
    <row r="124" spans="2:2" x14ac:dyDescent="0.45">
      <c r="B124" s="2" t="str">
        <f>_xlfn.IFNA(VLOOKUP(A124,'신고 스프레드 확인'!$A$2:$B$1000,2,FALSE),"-")</f>
        <v>-</v>
      </c>
    </row>
    <row r="125" spans="2:2" x14ac:dyDescent="0.45">
      <c r="B125" s="2" t="str">
        <f>_xlfn.IFNA(VLOOKUP(A125,'신고 스프레드 확인'!$A$2:$B$1000,2,FALSE),"-")</f>
        <v>-</v>
      </c>
    </row>
    <row r="126" spans="2:2" x14ac:dyDescent="0.45">
      <c r="B126" s="2" t="str">
        <f>_xlfn.IFNA(VLOOKUP(A126,'신고 스프레드 확인'!$A$2:$B$1000,2,FALSE),"-")</f>
        <v>-</v>
      </c>
    </row>
    <row r="127" spans="2:2" x14ac:dyDescent="0.45">
      <c r="B127" s="2" t="str">
        <f>_xlfn.IFNA(VLOOKUP(A127,'신고 스프레드 확인'!$A$2:$B$1000,2,FALSE),"-")</f>
        <v>-</v>
      </c>
    </row>
    <row r="128" spans="2:2" x14ac:dyDescent="0.45">
      <c r="B128" s="2" t="str">
        <f>_xlfn.IFNA(VLOOKUP(A128,'신고 스프레드 확인'!$A$2:$B$1000,2,FALSE),"-")</f>
        <v>-</v>
      </c>
    </row>
    <row r="129" spans="2:2" x14ac:dyDescent="0.45">
      <c r="B129" s="2" t="str">
        <f>_xlfn.IFNA(VLOOKUP(A129,'신고 스프레드 확인'!$A$2:$B$1000,2,FALSE),"-")</f>
        <v>-</v>
      </c>
    </row>
    <row r="130" spans="2:2" x14ac:dyDescent="0.45">
      <c r="B130" s="2" t="str">
        <f>_xlfn.IFNA(VLOOKUP(A130,'신고 스프레드 확인'!$A$2:$B$1000,2,FALSE),"-")</f>
        <v>-</v>
      </c>
    </row>
    <row r="131" spans="2:2" x14ac:dyDescent="0.45">
      <c r="B131" s="2" t="str">
        <f>_xlfn.IFNA(VLOOKUP(A131,'신고 스프레드 확인'!$A$2:$B$1000,2,FALSE),"-")</f>
        <v>-</v>
      </c>
    </row>
    <row r="132" spans="2:2" x14ac:dyDescent="0.45">
      <c r="B132" s="2" t="str">
        <f>_xlfn.IFNA(VLOOKUP(A132,'신고 스프레드 확인'!$A$2:$B$1000,2,FALSE),"-")</f>
        <v>-</v>
      </c>
    </row>
    <row r="133" spans="2:2" x14ac:dyDescent="0.45">
      <c r="B133" s="2" t="str">
        <f>_xlfn.IFNA(VLOOKUP(A133,'신고 스프레드 확인'!$A$2:$B$1000,2,FALSE),"-")</f>
        <v>-</v>
      </c>
    </row>
    <row r="134" spans="2:2" x14ac:dyDescent="0.45">
      <c r="B134" s="2" t="str">
        <f>_xlfn.IFNA(VLOOKUP(A134,'신고 스프레드 확인'!$A$2:$B$1000,2,FALSE),"-")</f>
        <v>-</v>
      </c>
    </row>
    <row r="135" spans="2:2" x14ac:dyDescent="0.45">
      <c r="B135" s="2" t="str">
        <f>_xlfn.IFNA(VLOOKUP(A135,'신고 스프레드 확인'!$A$2:$B$1000,2,FALSE),"-")</f>
        <v>-</v>
      </c>
    </row>
    <row r="136" spans="2:2" x14ac:dyDescent="0.45">
      <c r="B136" s="2" t="str">
        <f>_xlfn.IFNA(VLOOKUP(A136,'신고 스프레드 확인'!$A$2:$B$1000,2,FALSE),"-")</f>
        <v>-</v>
      </c>
    </row>
    <row r="137" spans="2:2" x14ac:dyDescent="0.45">
      <c r="B137" s="2" t="str">
        <f>_xlfn.IFNA(VLOOKUP(A137,'신고 스프레드 확인'!$A$2:$B$1000,2,FALSE),"-")</f>
        <v>-</v>
      </c>
    </row>
    <row r="138" spans="2:2" x14ac:dyDescent="0.45">
      <c r="B138" s="2" t="str">
        <f>_xlfn.IFNA(VLOOKUP(A138,'신고 스프레드 확인'!$A$2:$B$1000,2,FALSE),"-")</f>
        <v>-</v>
      </c>
    </row>
    <row r="139" spans="2:2" x14ac:dyDescent="0.45">
      <c r="B139" s="2" t="str">
        <f>_xlfn.IFNA(VLOOKUP(A139,'신고 스프레드 확인'!$A$2:$B$1000,2,FALSE),"-")</f>
        <v>-</v>
      </c>
    </row>
    <row r="140" spans="2:2" x14ac:dyDescent="0.45">
      <c r="B140" s="2" t="str">
        <f>_xlfn.IFNA(VLOOKUP(A140,'신고 스프레드 확인'!$A$2:$B$1000,2,FALSE),"-")</f>
        <v>-</v>
      </c>
    </row>
    <row r="141" spans="2:2" x14ac:dyDescent="0.45">
      <c r="B141" s="2" t="str">
        <f>_xlfn.IFNA(VLOOKUP(A141,'신고 스프레드 확인'!$A$2:$B$1000,2,FALSE),"-")</f>
        <v>-</v>
      </c>
    </row>
    <row r="142" spans="2:2" x14ac:dyDescent="0.45">
      <c r="B142" s="2" t="str">
        <f>_xlfn.IFNA(VLOOKUP(A142,'신고 스프레드 확인'!$A$2:$B$1000,2,FALSE),"-")</f>
        <v>-</v>
      </c>
    </row>
    <row r="143" spans="2:2" x14ac:dyDescent="0.45">
      <c r="B143" s="2" t="str">
        <f>_xlfn.IFNA(VLOOKUP(A143,'신고 스프레드 확인'!$A$2:$B$1000,2,FALSE),"-")</f>
        <v>-</v>
      </c>
    </row>
    <row r="144" spans="2:2" x14ac:dyDescent="0.45">
      <c r="B144" s="2" t="str">
        <f>_xlfn.IFNA(VLOOKUP(A144,'신고 스프레드 확인'!$A$2:$B$1000,2,FALSE),"-")</f>
        <v>-</v>
      </c>
    </row>
    <row r="145" spans="2:2" x14ac:dyDescent="0.45">
      <c r="B145" s="2" t="str">
        <f>_xlfn.IFNA(VLOOKUP(A145,'신고 스프레드 확인'!$A$2:$B$1000,2,FALSE),"-")</f>
        <v>-</v>
      </c>
    </row>
    <row r="146" spans="2:2" x14ac:dyDescent="0.45">
      <c r="B146" s="2" t="str">
        <f>_xlfn.IFNA(VLOOKUP(A146,'신고 스프레드 확인'!$A$2:$B$1000,2,FALSE),"-")</f>
        <v>-</v>
      </c>
    </row>
    <row r="147" spans="2:2" x14ac:dyDescent="0.45">
      <c r="B147" s="2" t="str">
        <f>_xlfn.IFNA(VLOOKUP(A147,'신고 스프레드 확인'!$A$2:$B$1000,2,FALSE),"-")</f>
        <v>-</v>
      </c>
    </row>
    <row r="148" spans="2:2" x14ac:dyDescent="0.45">
      <c r="B148" s="2" t="str">
        <f>_xlfn.IFNA(VLOOKUP(A148,'신고 스프레드 확인'!$A$2:$B$1000,2,FALSE),"-")</f>
        <v>-</v>
      </c>
    </row>
    <row r="149" spans="2:2" x14ac:dyDescent="0.45">
      <c r="B149" s="2" t="str">
        <f>_xlfn.IFNA(VLOOKUP(A149,'신고 스프레드 확인'!$A$2:$B$1000,2,FALSE),"-")</f>
        <v>-</v>
      </c>
    </row>
    <row r="150" spans="2:2" x14ac:dyDescent="0.45">
      <c r="B150" s="2" t="str">
        <f>_xlfn.IFNA(VLOOKUP(A150,'신고 스프레드 확인'!$A$2:$B$1000,2,FALSE),"-")</f>
        <v>-</v>
      </c>
    </row>
    <row r="151" spans="2:2" x14ac:dyDescent="0.45">
      <c r="B151" s="2" t="str">
        <f>_xlfn.IFNA(VLOOKUP(A151,'신고 스프레드 확인'!$A$2:$B$1000,2,FALSE),"-")</f>
        <v>-</v>
      </c>
    </row>
    <row r="152" spans="2:2" x14ac:dyDescent="0.45">
      <c r="B152" s="2" t="str">
        <f>_xlfn.IFNA(VLOOKUP(A152,'신고 스프레드 확인'!$A$2:$B$1000,2,FALSE),"-")</f>
        <v>-</v>
      </c>
    </row>
    <row r="153" spans="2:2" x14ac:dyDescent="0.45">
      <c r="B153" s="2" t="str">
        <f>_xlfn.IFNA(VLOOKUP(A153,'신고 스프레드 확인'!$A$2:$B$1000,2,FALSE),"-")</f>
        <v>-</v>
      </c>
    </row>
    <row r="154" spans="2:2" x14ac:dyDescent="0.45">
      <c r="B154" s="2" t="str">
        <f>_xlfn.IFNA(VLOOKUP(A154,'신고 스프레드 확인'!$A$2:$B$1000,2,FALSE),"-")</f>
        <v>-</v>
      </c>
    </row>
    <row r="155" spans="2:2" x14ac:dyDescent="0.45">
      <c r="B155" s="2" t="str">
        <f>_xlfn.IFNA(VLOOKUP(A155,'신고 스프레드 확인'!$A$2:$B$1000,2,FALSE),"-")</f>
        <v>-</v>
      </c>
    </row>
    <row r="156" spans="2:2" x14ac:dyDescent="0.45">
      <c r="B156" s="2" t="str">
        <f>_xlfn.IFNA(VLOOKUP(A156,'신고 스프레드 확인'!$A$2:$B$1000,2,FALSE),"-")</f>
        <v>-</v>
      </c>
    </row>
    <row r="157" spans="2:2" x14ac:dyDescent="0.45">
      <c r="B157" s="2" t="str">
        <f>_xlfn.IFNA(VLOOKUP(A157,'신고 스프레드 확인'!$A$2:$B$1000,2,FALSE),"-")</f>
        <v>-</v>
      </c>
    </row>
    <row r="158" spans="2:2" x14ac:dyDescent="0.45">
      <c r="B158" s="2" t="str">
        <f>_xlfn.IFNA(VLOOKUP(A158,'신고 스프레드 확인'!$A$2:$B$1000,2,FALSE),"-")</f>
        <v>-</v>
      </c>
    </row>
    <row r="159" spans="2:2" x14ac:dyDescent="0.45">
      <c r="B159" s="2" t="str">
        <f>_xlfn.IFNA(VLOOKUP(A159,'신고 스프레드 확인'!$A$2:$B$1000,2,FALSE),"-")</f>
        <v>-</v>
      </c>
    </row>
    <row r="160" spans="2:2" x14ac:dyDescent="0.45">
      <c r="B160" s="2" t="str">
        <f>_xlfn.IFNA(VLOOKUP(A160,'신고 스프레드 확인'!$A$2:$B$1000,2,FALSE),"-")</f>
        <v>-</v>
      </c>
    </row>
    <row r="161" spans="2:2" x14ac:dyDescent="0.45">
      <c r="B161" s="2" t="str">
        <f>_xlfn.IFNA(VLOOKUP(A161,'신고 스프레드 확인'!$A$2:$B$1000,2,FALSE),"-")</f>
        <v>-</v>
      </c>
    </row>
    <row r="162" spans="2:2" x14ac:dyDescent="0.45">
      <c r="B162" s="2" t="str">
        <f>_xlfn.IFNA(VLOOKUP(A162,'신고 스프레드 확인'!$A$2:$B$1000,2,FALSE),"-")</f>
        <v>-</v>
      </c>
    </row>
    <row r="163" spans="2:2" x14ac:dyDescent="0.45">
      <c r="B163" s="2" t="str">
        <f>_xlfn.IFNA(VLOOKUP(A163,'신고 스프레드 확인'!$A$2:$B$1000,2,FALSE),"-")</f>
        <v>-</v>
      </c>
    </row>
    <row r="164" spans="2:2" x14ac:dyDescent="0.45">
      <c r="B164" s="2" t="str">
        <f>_xlfn.IFNA(VLOOKUP(A164,'신고 스프레드 확인'!$A$2:$B$1000,2,FALSE),"-")</f>
        <v>-</v>
      </c>
    </row>
    <row r="165" spans="2:2" x14ac:dyDescent="0.45">
      <c r="B165" s="2" t="str">
        <f>_xlfn.IFNA(VLOOKUP(A165,'신고 스프레드 확인'!$A$2:$B$1000,2,FALSE),"-")</f>
        <v>-</v>
      </c>
    </row>
    <row r="166" spans="2:2" x14ac:dyDescent="0.45">
      <c r="B166" s="2" t="str">
        <f>_xlfn.IFNA(VLOOKUP(A166,'신고 스프레드 확인'!$A$2:$B$1000,2,FALSE),"-")</f>
        <v>-</v>
      </c>
    </row>
    <row r="167" spans="2:2" x14ac:dyDescent="0.45">
      <c r="B167" s="2" t="str">
        <f>_xlfn.IFNA(VLOOKUP(A167,'신고 스프레드 확인'!$A$2:$B$1000,2,FALSE),"-")</f>
        <v>-</v>
      </c>
    </row>
    <row r="168" spans="2:2" x14ac:dyDescent="0.45">
      <c r="B168" s="2" t="str">
        <f>_xlfn.IFNA(VLOOKUP(A168,'신고 스프레드 확인'!$A$2:$B$1000,2,FALSE),"-")</f>
        <v>-</v>
      </c>
    </row>
    <row r="169" spans="2:2" x14ac:dyDescent="0.45">
      <c r="B169" s="2" t="str">
        <f>_xlfn.IFNA(VLOOKUP(A169,'신고 스프레드 확인'!$A$2:$B$1000,2,FALSE),"-")</f>
        <v>-</v>
      </c>
    </row>
    <row r="170" spans="2:2" x14ac:dyDescent="0.45">
      <c r="B170" s="2" t="str">
        <f>_xlfn.IFNA(VLOOKUP(A170,'신고 스프레드 확인'!$A$2:$B$1000,2,FALSE),"-")</f>
        <v>-</v>
      </c>
    </row>
    <row r="171" spans="2:2" x14ac:dyDescent="0.45">
      <c r="B171" s="2" t="str">
        <f>_xlfn.IFNA(VLOOKUP(A171,'신고 스프레드 확인'!$A$2:$B$1000,2,FALSE),"-")</f>
        <v>-</v>
      </c>
    </row>
    <row r="172" spans="2:2" x14ac:dyDescent="0.45">
      <c r="B172" s="2" t="str">
        <f>_xlfn.IFNA(VLOOKUP(A172,'신고 스프레드 확인'!$A$2:$B$1000,2,FALSE),"-")</f>
        <v>-</v>
      </c>
    </row>
    <row r="173" spans="2:2" x14ac:dyDescent="0.45">
      <c r="B173" s="2" t="str">
        <f>_xlfn.IFNA(VLOOKUP(A173,'신고 스프레드 확인'!$A$2:$B$1000,2,FALSE),"-")</f>
        <v>-</v>
      </c>
    </row>
    <row r="174" spans="2:2" x14ac:dyDescent="0.45">
      <c r="B174" s="2" t="str">
        <f>_xlfn.IFNA(VLOOKUP(A174,'신고 스프레드 확인'!$A$2:$B$1000,2,FALSE),"-")</f>
        <v>-</v>
      </c>
    </row>
    <row r="175" spans="2:2" x14ac:dyDescent="0.45">
      <c r="B175" s="2" t="str">
        <f>_xlfn.IFNA(VLOOKUP(A175,'신고 스프레드 확인'!$A$2:$B$1000,2,FALSE),"-")</f>
        <v>-</v>
      </c>
    </row>
    <row r="176" spans="2:2" x14ac:dyDescent="0.45">
      <c r="B176" s="2" t="str">
        <f>_xlfn.IFNA(VLOOKUP(A176,'신고 스프레드 확인'!$A$2:$B$1000,2,FALSE),"-")</f>
        <v>-</v>
      </c>
    </row>
    <row r="177" spans="2:2" x14ac:dyDescent="0.45">
      <c r="B177" s="2" t="str">
        <f>_xlfn.IFNA(VLOOKUP(A177,'신고 스프레드 확인'!$A$2:$B$1000,2,FALSE),"-")</f>
        <v>-</v>
      </c>
    </row>
    <row r="178" spans="2:2" x14ac:dyDescent="0.45">
      <c r="B178" s="2" t="str">
        <f>_xlfn.IFNA(VLOOKUP(A178,'신고 스프레드 확인'!$A$2:$B$1000,2,FALSE),"-")</f>
        <v>-</v>
      </c>
    </row>
    <row r="179" spans="2:2" x14ac:dyDescent="0.45">
      <c r="B179" s="2" t="str">
        <f>_xlfn.IFNA(VLOOKUP(A179,'신고 스프레드 확인'!$A$2:$B$1000,2,FALSE),"-")</f>
        <v>-</v>
      </c>
    </row>
    <row r="180" spans="2:2" x14ac:dyDescent="0.45">
      <c r="B180" s="2" t="str">
        <f>_xlfn.IFNA(VLOOKUP(A180,'신고 스프레드 확인'!$A$2:$B$1000,2,FALSE),"-")</f>
        <v>-</v>
      </c>
    </row>
    <row r="181" spans="2:2" x14ac:dyDescent="0.45">
      <c r="B181" s="2" t="str">
        <f>_xlfn.IFNA(VLOOKUP(A181,'신고 스프레드 확인'!$A$2:$B$1000,2,FALSE),"-")</f>
        <v>-</v>
      </c>
    </row>
    <row r="182" spans="2:2" x14ac:dyDescent="0.45">
      <c r="B182" s="2" t="str">
        <f>_xlfn.IFNA(VLOOKUP(A182,'신고 스프레드 확인'!$A$2:$B$1000,2,FALSE),"-")</f>
        <v>-</v>
      </c>
    </row>
    <row r="183" spans="2:2" x14ac:dyDescent="0.45">
      <c r="B183" s="2" t="str">
        <f>_xlfn.IFNA(VLOOKUP(A183,'신고 스프레드 확인'!$A$2:$B$1000,2,FALSE),"-")</f>
        <v>-</v>
      </c>
    </row>
    <row r="184" spans="2:2" x14ac:dyDescent="0.45">
      <c r="B184" s="2" t="str">
        <f>_xlfn.IFNA(VLOOKUP(A184,'신고 스프레드 확인'!$A$2:$B$1000,2,FALSE),"-")</f>
        <v>-</v>
      </c>
    </row>
    <row r="185" spans="2:2" x14ac:dyDescent="0.45">
      <c r="B185" s="2" t="str">
        <f>_xlfn.IFNA(VLOOKUP(A185,'신고 스프레드 확인'!$A$2:$B$1000,2,FALSE),"-")</f>
        <v>-</v>
      </c>
    </row>
    <row r="186" spans="2:2" x14ac:dyDescent="0.45">
      <c r="B186" s="2" t="str">
        <f>_xlfn.IFNA(VLOOKUP(A186,'신고 스프레드 확인'!$A$2:$B$1000,2,FALSE),"-")</f>
        <v>-</v>
      </c>
    </row>
    <row r="187" spans="2:2" x14ac:dyDescent="0.45">
      <c r="B187" s="2" t="str">
        <f>_xlfn.IFNA(VLOOKUP(A187,'신고 스프레드 확인'!$A$2:$B$1000,2,FALSE),"-")</f>
        <v>-</v>
      </c>
    </row>
    <row r="188" spans="2:2" x14ac:dyDescent="0.45">
      <c r="B188" s="2" t="str">
        <f>_xlfn.IFNA(VLOOKUP(A188,'신고 스프레드 확인'!$A$2:$B$1000,2,FALSE),"-")</f>
        <v>-</v>
      </c>
    </row>
    <row r="189" spans="2:2" x14ac:dyDescent="0.45">
      <c r="B189" s="2" t="str">
        <f>_xlfn.IFNA(VLOOKUP(A189,'신고 스프레드 확인'!$A$2:$B$1000,2,FALSE),"-")</f>
        <v>-</v>
      </c>
    </row>
    <row r="190" spans="2:2" x14ac:dyDescent="0.45">
      <c r="B190" s="2" t="str">
        <f>_xlfn.IFNA(VLOOKUP(A190,'신고 스프레드 확인'!$A$2:$B$1000,2,FALSE),"-")</f>
        <v>-</v>
      </c>
    </row>
    <row r="191" spans="2:2" x14ac:dyDescent="0.45">
      <c r="B191" s="2" t="str">
        <f>_xlfn.IFNA(VLOOKUP(A191,'신고 스프레드 확인'!$A$2:$B$1000,2,FALSE),"-")</f>
        <v>-</v>
      </c>
    </row>
    <row r="192" spans="2:2" x14ac:dyDescent="0.45">
      <c r="B192" s="2" t="str">
        <f>_xlfn.IFNA(VLOOKUP(A192,'신고 스프레드 확인'!$A$2:$B$1000,2,FALSE),"-")</f>
        <v>-</v>
      </c>
    </row>
    <row r="193" spans="2:2" x14ac:dyDescent="0.45">
      <c r="B193" s="2" t="str">
        <f>_xlfn.IFNA(VLOOKUP(A193,'신고 스프레드 확인'!$A$2:$B$1000,2,FALSE),"-")</f>
        <v>-</v>
      </c>
    </row>
    <row r="194" spans="2:2" x14ac:dyDescent="0.45">
      <c r="B194" s="2" t="str">
        <f>_xlfn.IFNA(VLOOKUP(A194,'신고 스프레드 확인'!$A$2:$B$1000,2,FALSE),"-")</f>
        <v>-</v>
      </c>
    </row>
    <row r="195" spans="2:2" x14ac:dyDescent="0.45">
      <c r="B195" s="2" t="str">
        <f>_xlfn.IFNA(VLOOKUP(A195,'신고 스프레드 확인'!$A$2:$B$1000,2,FALSE),"-")</f>
        <v>-</v>
      </c>
    </row>
    <row r="196" spans="2:2" x14ac:dyDescent="0.45">
      <c r="B196" s="2" t="str">
        <f>_xlfn.IFNA(VLOOKUP(A196,'신고 스프레드 확인'!$A$2:$B$1000,2,FALSE),"-")</f>
        <v>-</v>
      </c>
    </row>
    <row r="197" spans="2:2" x14ac:dyDescent="0.45">
      <c r="B197" s="2" t="str">
        <f>_xlfn.IFNA(VLOOKUP(A197,'신고 스프레드 확인'!$A$2:$B$1000,2,FALSE),"-")</f>
        <v>-</v>
      </c>
    </row>
    <row r="198" spans="2:2" x14ac:dyDescent="0.45">
      <c r="B198" s="2" t="str">
        <f>_xlfn.IFNA(VLOOKUP(A198,'신고 스프레드 확인'!$A$2:$B$1000,2,FALSE),"-")</f>
        <v>-</v>
      </c>
    </row>
    <row r="199" spans="2:2" x14ac:dyDescent="0.45">
      <c r="B199" s="2" t="str">
        <f>_xlfn.IFNA(VLOOKUP(A199,'신고 스프레드 확인'!$A$2:$B$1000,2,FALSE),"-")</f>
        <v>-</v>
      </c>
    </row>
    <row r="200" spans="2:2" x14ac:dyDescent="0.45">
      <c r="B200" s="2" t="str">
        <f>_xlfn.IFNA(VLOOKUP(A200,'신고 스프레드 확인'!$A$2:$B$1000,2,FALSE),"-")</f>
        <v>-</v>
      </c>
    </row>
    <row r="201" spans="2:2" x14ac:dyDescent="0.45">
      <c r="B201" s="2" t="str">
        <f>_xlfn.IFNA(VLOOKUP(A201,'신고 스프레드 확인'!$A$2:$B$1000,2,FALSE),"-")</f>
        <v>-</v>
      </c>
    </row>
    <row r="202" spans="2:2" x14ac:dyDescent="0.45">
      <c r="B202" s="2" t="str">
        <f>_xlfn.IFNA(VLOOKUP(A202,'신고 스프레드 확인'!$A$2:$B$1000,2,FALSE),"-")</f>
        <v>-</v>
      </c>
    </row>
    <row r="203" spans="2:2" x14ac:dyDescent="0.45">
      <c r="B203" s="2" t="str">
        <f>_xlfn.IFNA(VLOOKUP(A203,'신고 스프레드 확인'!$A$2:$B$1000,2,FALSE),"-")</f>
        <v>-</v>
      </c>
    </row>
    <row r="204" spans="2:2" x14ac:dyDescent="0.45">
      <c r="B204" s="2" t="str">
        <f>_xlfn.IFNA(VLOOKUP(A204,'신고 스프레드 확인'!$A$2:$B$1000,2,FALSE),"-")</f>
        <v>-</v>
      </c>
    </row>
    <row r="205" spans="2:2" x14ac:dyDescent="0.45">
      <c r="B205" s="2" t="str">
        <f>_xlfn.IFNA(VLOOKUP(A205,'신고 스프레드 확인'!$A$2:$B$1000,2,FALSE),"-")</f>
        <v>-</v>
      </c>
    </row>
    <row r="206" spans="2:2" x14ac:dyDescent="0.45">
      <c r="B206" s="2" t="str">
        <f>_xlfn.IFNA(VLOOKUP(A206,'신고 스프레드 확인'!$A$2:$B$1000,2,FALSE),"-")</f>
        <v>-</v>
      </c>
    </row>
    <row r="207" spans="2:2" x14ac:dyDescent="0.45">
      <c r="B207" s="2" t="str">
        <f>_xlfn.IFNA(VLOOKUP(A207,'신고 스프레드 확인'!$A$2:$B$1000,2,FALSE),"-")</f>
        <v>-</v>
      </c>
    </row>
    <row r="208" spans="2:2" x14ac:dyDescent="0.45">
      <c r="B208" s="2" t="str">
        <f>_xlfn.IFNA(VLOOKUP(A208,'신고 스프레드 확인'!$A$2:$B$1000,2,FALSE),"-")</f>
        <v>-</v>
      </c>
    </row>
    <row r="209" spans="2:2" x14ac:dyDescent="0.45">
      <c r="B209" s="2" t="str">
        <f>_xlfn.IFNA(VLOOKUP(A209,'신고 스프레드 확인'!$A$2:$B$1000,2,FALSE),"-")</f>
        <v>-</v>
      </c>
    </row>
    <row r="210" spans="2:2" x14ac:dyDescent="0.45">
      <c r="B210" s="2" t="str">
        <f>_xlfn.IFNA(VLOOKUP(A210,'신고 스프레드 확인'!$A$2:$B$1000,2,FALSE),"-")</f>
        <v>-</v>
      </c>
    </row>
    <row r="211" spans="2:2" x14ac:dyDescent="0.45">
      <c r="B211" s="2" t="str">
        <f>_xlfn.IFNA(VLOOKUP(A211,'신고 스프레드 확인'!$A$2:$B$1000,2,FALSE),"-")</f>
        <v>-</v>
      </c>
    </row>
    <row r="212" spans="2:2" x14ac:dyDescent="0.45">
      <c r="B212" s="2" t="str">
        <f>_xlfn.IFNA(VLOOKUP(A212,'신고 스프레드 확인'!$A$2:$B$1000,2,FALSE),"-")</f>
        <v>-</v>
      </c>
    </row>
    <row r="213" spans="2:2" x14ac:dyDescent="0.45">
      <c r="B213" s="2" t="str">
        <f>_xlfn.IFNA(VLOOKUP(A213,'신고 스프레드 확인'!$A$2:$B$1000,2,FALSE),"-")</f>
        <v>-</v>
      </c>
    </row>
    <row r="214" spans="2:2" x14ac:dyDescent="0.45">
      <c r="B214" s="2" t="str">
        <f>_xlfn.IFNA(VLOOKUP(A214,'신고 스프레드 확인'!$A$2:$B$1000,2,FALSE),"-")</f>
        <v>-</v>
      </c>
    </row>
    <row r="215" spans="2:2" x14ac:dyDescent="0.45">
      <c r="B215" s="2" t="str">
        <f>_xlfn.IFNA(VLOOKUP(A215,'신고 스프레드 확인'!$A$2:$B$1000,2,FALSE),"-")</f>
        <v>-</v>
      </c>
    </row>
    <row r="216" spans="2:2" x14ac:dyDescent="0.45">
      <c r="B216" s="2" t="str">
        <f>_xlfn.IFNA(VLOOKUP(A216,'신고 스프레드 확인'!$A$2:$B$1000,2,FALSE),"-")</f>
        <v>-</v>
      </c>
    </row>
    <row r="217" spans="2:2" x14ac:dyDescent="0.45">
      <c r="B217" s="2" t="str">
        <f>_xlfn.IFNA(VLOOKUP(A217,'신고 스프레드 확인'!$A$2:$B$1000,2,FALSE),"-")</f>
        <v>-</v>
      </c>
    </row>
    <row r="218" spans="2:2" x14ac:dyDescent="0.45">
      <c r="B218" s="2" t="str">
        <f>_xlfn.IFNA(VLOOKUP(A218,'신고 스프레드 확인'!$A$2:$B$1000,2,FALSE),"-")</f>
        <v>-</v>
      </c>
    </row>
    <row r="219" spans="2:2" x14ac:dyDescent="0.45">
      <c r="B219" s="2" t="str">
        <f>_xlfn.IFNA(VLOOKUP(A219,'신고 스프레드 확인'!$A$2:$B$1000,2,FALSE),"-")</f>
        <v>-</v>
      </c>
    </row>
    <row r="220" spans="2:2" x14ac:dyDescent="0.45">
      <c r="B220" s="2" t="str">
        <f>_xlfn.IFNA(VLOOKUP(A220,'신고 스프레드 확인'!$A$2:$B$1000,2,FALSE),"-")</f>
        <v>-</v>
      </c>
    </row>
    <row r="221" spans="2:2" x14ac:dyDescent="0.45">
      <c r="B221" s="2" t="str">
        <f>_xlfn.IFNA(VLOOKUP(A221,'신고 스프레드 확인'!$A$2:$B$1000,2,FALSE),"-")</f>
        <v>-</v>
      </c>
    </row>
    <row r="222" spans="2:2" x14ac:dyDescent="0.45">
      <c r="B222" s="2" t="str">
        <f>_xlfn.IFNA(VLOOKUP(A222,'신고 스프레드 확인'!$A$2:$B$1000,2,FALSE),"-")</f>
        <v>-</v>
      </c>
    </row>
    <row r="223" spans="2:2" x14ac:dyDescent="0.45">
      <c r="B223" s="2" t="str">
        <f>_xlfn.IFNA(VLOOKUP(A223,'신고 스프레드 확인'!$A$2:$B$1000,2,FALSE),"-")</f>
        <v>-</v>
      </c>
    </row>
    <row r="224" spans="2:2" x14ac:dyDescent="0.45">
      <c r="B224" s="2" t="str">
        <f>_xlfn.IFNA(VLOOKUP(A224,'신고 스프레드 확인'!$A$2:$B$1000,2,FALSE),"-")</f>
        <v>-</v>
      </c>
    </row>
    <row r="225" spans="2:2" x14ac:dyDescent="0.45">
      <c r="B225" s="2" t="str">
        <f>_xlfn.IFNA(VLOOKUP(A225,'신고 스프레드 확인'!$A$2:$B$1000,2,FALSE),"-")</f>
        <v>-</v>
      </c>
    </row>
    <row r="226" spans="2:2" x14ac:dyDescent="0.45">
      <c r="B226" s="2" t="str">
        <f>_xlfn.IFNA(VLOOKUP(A226,'신고 스프레드 확인'!$A$2:$B$1000,2,FALSE),"-")</f>
        <v>-</v>
      </c>
    </row>
    <row r="227" spans="2:2" x14ac:dyDescent="0.45">
      <c r="B227" s="2" t="str">
        <f>_xlfn.IFNA(VLOOKUP(A227,'신고 스프레드 확인'!$A$2:$B$1000,2,FALSE),"-")</f>
        <v>-</v>
      </c>
    </row>
    <row r="228" spans="2:2" x14ac:dyDescent="0.45">
      <c r="B228" s="2" t="str">
        <f>_xlfn.IFNA(VLOOKUP(A228,'신고 스프레드 확인'!$A$2:$B$1000,2,FALSE),"-")</f>
        <v>-</v>
      </c>
    </row>
    <row r="229" spans="2:2" x14ac:dyDescent="0.45">
      <c r="B229" s="2" t="str">
        <f>_xlfn.IFNA(VLOOKUP(A229,'신고 스프레드 확인'!$A$2:$B$1000,2,FALSE),"-")</f>
        <v>-</v>
      </c>
    </row>
    <row r="230" spans="2:2" x14ac:dyDescent="0.45">
      <c r="B230" s="2" t="str">
        <f>_xlfn.IFNA(VLOOKUP(A230,'신고 스프레드 확인'!$A$2:$B$1000,2,FALSE),"-")</f>
        <v>-</v>
      </c>
    </row>
    <row r="231" spans="2:2" x14ac:dyDescent="0.45">
      <c r="B231" s="2" t="str">
        <f>_xlfn.IFNA(VLOOKUP(A231,'신고 스프레드 확인'!$A$2:$B$1000,2,FALSE),"-")</f>
        <v>-</v>
      </c>
    </row>
    <row r="232" spans="2:2" x14ac:dyDescent="0.45">
      <c r="B232" s="2" t="str">
        <f>_xlfn.IFNA(VLOOKUP(A232,'신고 스프레드 확인'!$A$2:$B$1000,2,FALSE),"-")</f>
        <v>-</v>
      </c>
    </row>
    <row r="233" spans="2:2" x14ac:dyDescent="0.45">
      <c r="B233" s="2" t="str">
        <f>_xlfn.IFNA(VLOOKUP(A233,'신고 스프레드 확인'!$A$2:$B$1000,2,FALSE),"-")</f>
        <v>-</v>
      </c>
    </row>
    <row r="234" spans="2:2" x14ac:dyDescent="0.45">
      <c r="B234" s="2" t="str">
        <f>_xlfn.IFNA(VLOOKUP(A234,'신고 스프레드 확인'!$A$2:$B$1000,2,FALSE),"-")</f>
        <v>-</v>
      </c>
    </row>
    <row r="235" spans="2:2" x14ac:dyDescent="0.45">
      <c r="B235" s="2" t="str">
        <f>_xlfn.IFNA(VLOOKUP(A235,'신고 스프레드 확인'!$A$2:$B$1000,2,FALSE),"-")</f>
        <v>-</v>
      </c>
    </row>
    <row r="236" spans="2:2" x14ac:dyDescent="0.45">
      <c r="B236" s="2" t="str">
        <f>_xlfn.IFNA(VLOOKUP(A236,'신고 스프레드 확인'!$A$2:$B$1000,2,FALSE),"-")</f>
        <v>-</v>
      </c>
    </row>
    <row r="237" spans="2:2" x14ac:dyDescent="0.45">
      <c r="B237" s="2" t="str">
        <f>_xlfn.IFNA(VLOOKUP(A237,'신고 스프레드 확인'!$A$2:$B$1000,2,FALSE),"-")</f>
        <v>-</v>
      </c>
    </row>
    <row r="238" spans="2:2" x14ac:dyDescent="0.45">
      <c r="B238" s="2" t="str">
        <f>_xlfn.IFNA(VLOOKUP(A238,'신고 스프레드 확인'!$A$2:$B$1000,2,FALSE),"-")</f>
        <v>-</v>
      </c>
    </row>
    <row r="239" spans="2:2" x14ac:dyDescent="0.45">
      <c r="B239" s="2" t="str">
        <f>_xlfn.IFNA(VLOOKUP(A239,'신고 스프레드 확인'!$A$2:$B$1000,2,FALSE),"-")</f>
        <v>-</v>
      </c>
    </row>
    <row r="240" spans="2:2" x14ac:dyDescent="0.45">
      <c r="B240" s="2" t="str">
        <f>_xlfn.IFNA(VLOOKUP(A240,'신고 스프레드 확인'!$A$2:$B$1000,2,FALSE),"-")</f>
        <v>-</v>
      </c>
    </row>
    <row r="241" spans="2:2" x14ac:dyDescent="0.45">
      <c r="B241" s="2" t="str">
        <f>_xlfn.IFNA(VLOOKUP(A241,'신고 스프레드 확인'!$A$2:$B$1000,2,FALSE),"-")</f>
        <v>-</v>
      </c>
    </row>
    <row r="242" spans="2:2" x14ac:dyDescent="0.45">
      <c r="B242" s="2" t="str">
        <f>_xlfn.IFNA(VLOOKUP(A242,'신고 스프레드 확인'!$A$2:$B$1000,2,FALSE),"-")</f>
        <v>-</v>
      </c>
    </row>
    <row r="243" spans="2:2" x14ac:dyDescent="0.45">
      <c r="B243" s="2" t="str">
        <f>_xlfn.IFNA(VLOOKUP(A243,'신고 스프레드 확인'!$A$2:$B$1000,2,FALSE),"-")</f>
        <v>-</v>
      </c>
    </row>
    <row r="244" spans="2:2" x14ac:dyDescent="0.45">
      <c r="B244" s="2" t="str">
        <f>_xlfn.IFNA(VLOOKUP(A244,'신고 스프레드 확인'!$A$2:$B$1000,2,FALSE),"-")</f>
        <v>-</v>
      </c>
    </row>
    <row r="245" spans="2:2" x14ac:dyDescent="0.45">
      <c r="B245" s="2" t="str">
        <f>_xlfn.IFNA(VLOOKUP(A245,'신고 스프레드 확인'!$A$2:$B$1000,2,FALSE),"-")</f>
        <v>-</v>
      </c>
    </row>
    <row r="246" spans="2:2" x14ac:dyDescent="0.45">
      <c r="B246" s="2" t="str">
        <f>_xlfn.IFNA(VLOOKUP(A246,'신고 스프레드 확인'!$A$2:$B$1000,2,FALSE),"-")</f>
        <v>-</v>
      </c>
    </row>
    <row r="247" spans="2:2" x14ac:dyDescent="0.45">
      <c r="B247" s="2" t="str">
        <f>_xlfn.IFNA(VLOOKUP(A247,'신고 스프레드 확인'!$A$2:$B$1000,2,FALSE),"-")</f>
        <v>-</v>
      </c>
    </row>
    <row r="248" spans="2:2" x14ac:dyDescent="0.45">
      <c r="B248" s="2" t="str">
        <f>_xlfn.IFNA(VLOOKUP(A248,'신고 스프레드 확인'!$A$2:$B$1000,2,FALSE),"-")</f>
        <v>-</v>
      </c>
    </row>
    <row r="249" spans="2:2" x14ac:dyDescent="0.45">
      <c r="B249" s="2" t="str">
        <f>_xlfn.IFNA(VLOOKUP(A249,'신고 스프레드 확인'!$A$2:$B$1000,2,FALSE),"-")</f>
        <v>-</v>
      </c>
    </row>
    <row r="250" spans="2:2" x14ac:dyDescent="0.45">
      <c r="B250" s="2" t="str">
        <f>_xlfn.IFNA(VLOOKUP(A250,'신고 스프레드 확인'!$A$2:$B$1000,2,FALSE),"-")</f>
        <v>-</v>
      </c>
    </row>
    <row r="251" spans="2:2" x14ac:dyDescent="0.45">
      <c r="B251" s="2" t="str">
        <f>_xlfn.IFNA(VLOOKUP(A251,'신고 스프레드 확인'!$A$2:$B$1000,2,FALSE),"-")</f>
        <v>-</v>
      </c>
    </row>
    <row r="252" spans="2:2" x14ac:dyDescent="0.45">
      <c r="B252" s="2" t="str">
        <f>_xlfn.IFNA(VLOOKUP(A252,'신고 스프레드 확인'!$A$2:$B$1000,2,FALSE),"-")</f>
        <v>-</v>
      </c>
    </row>
    <row r="253" spans="2:2" x14ac:dyDescent="0.45">
      <c r="B253" s="2" t="str">
        <f>_xlfn.IFNA(VLOOKUP(A253,'신고 스프레드 확인'!$A$2:$B$1000,2,FALSE),"-")</f>
        <v>-</v>
      </c>
    </row>
    <row r="254" spans="2:2" x14ac:dyDescent="0.45">
      <c r="B254" s="2" t="str">
        <f>_xlfn.IFNA(VLOOKUP(A254,'신고 스프레드 확인'!$A$2:$B$1000,2,FALSE),"-")</f>
        <v>-</v>
      </c>
    </row>
    <row r="255" spans="2:2" x14ac:dyDescent="0.45">
      <c r="B255" s="2" t="str">
        <f>_xlfn.IFNA(VLOOKUP(A255,'신고 스프레드 확인'!$A$2:$B$1000,2,FALSE),"-")</f>
        <v>-</v>
      </c>
    </row>
    <row r="256" spans="2:2" x14ac:dyDescent="0.45">
      <c r="B256" s="2" t="str">
        <f>_xlfn.IFNA(VLOOKUP(A256,'신고 스프레드 확인'!$A$2:$B$1000,2,FALSE),"-")</f>
        <v>-</v>
      </c>
    </row>
    <row r="257" spans="2:2" x14ac:dyDescent="0.45">
      <c r="B257" s="2" t="str">
        <f>_xlfn.IFNA(VLOOKUP(A257,'신고 스프레드 확인'!$A$2:$B$1000,2,FALSE),"-")</f>
        <v>-</v>
      </c>
    </row>
    <row r="258" spans="2:2" x14ac:dyDescent="0.45">
      <c r="B258" s="2" t="str">
        <f>_xlfn.IFNA(VLOOKUP(A258,'신고 스프레드 확인'!$A$2:$B$1000,2,FALSE),"-")</f>
        <v>-</v>
      </c>
    </row>
    <row r="259" spans="2:2" x14ac:dyDescent="0.45">
      <c r="B259" s="2" t="str">
        <f>_xlfn.IFNA(VLOOKUP(A259,'신고 스프레드 확인'!$A$2:$B$1000,2,FALSE),"-")</f>
        <v>-</v>
      </c>
    </row>
    <row r="260" spans="2:2" x14ac:dyDescent="0.45">
      <c r="B260" s="2" t="str">
        <f>_xlfn.IFNA(VLOOKUP(A260,'신고 스프레드 확인'!$A$2:$B$1000,2,FALSE),"-")</f>
        <v>-</v>
      </c>
    </row>
    <row r="261" spans="2:2" x14ac:dyDescent="0.45">
      <c r="B261" s="2" t="str">
        <f>_xlfn.IFNA(VLOOKUP(A261,'신고 스프레드 확인'!$A$2:$B$1000,2,FALSE),"-")</f>
        <v>-</v>
      </c>
    </row>
    <row r="262" spans="2:2" x14ac:dyDescent="0.45">
      <c r="B262" s="2" t="str">
        <f>_xlfn.IFNA(VLOOKUP(A262,'신고 스프레드 확인'!$A$2:$B$1000,2,FALSE),"-")</f>
        <v>-</v>
      </c>
    </row>
    <row r="263" spans="2:2" x14ac:dyDescent="0.45">
      <c r="B263" s="2" t="str">
        <f>_xlfn.IFNA(VLOOKUP(A263,'신고 스프레드 확인'!$A$2:$B$1000,2,FALSE),"-")</f>
        <v>-</v>
      </c>
    </row>
    <row r="264" spans="2:2" x14ac:dyDescent="0.45">
      <c r="B264" s="2" t="str">
        <f>_xlfn.IFNA(VLOOKUP(A264,'신고 스프레드 확인'!$A$2:$B$1000,2,FALSE),"-")</f>
        <v>-</v>
      </c>
    </row>
    <row r="265" spans="2:2" x14ac:dyDescent="0.45">
      <c r="B265" s="2" t="str">
        <f>_xlfn.IFNA(VLOOKUP(A265,'신고 스프레드 확인'!$A$2:$B$1000,2,FALSE),"-")</f>
        <v>-</v>
      </c>
    </row>
    <row r="266" spans="2:2" x14ac:dyDescent="0.45">
      <c r="B266" s="2" t="str">
        <f>_xlfn.IFNA(VLOOKUP(A266,'신고 스프레드 확인'!$A$2:$B$1000,2,FALSE),"-")</f>
        <v>-</v>
      </c>
    </row>
    <row r="267" spans="2:2" x14ac:dyDescent="0.45">
      <c r="B267" s="2" t="str">
        <f>_xlfn.IFNA(VLOOKUP(A267,'신고 스프레드 확인'!$A$2:$B$1000,2,FALSE),"-")</f>
        <v>-</v>
      </c>
    </row>
    <row r="268" spans="2:2" x14ac:dyDescent="0.45">
      <c r="B268" s="2" t="str">
        <f>_xlfn.IFNA(VLOOKUP(A268,'신고 스프레드 확인'!$A$2:$B$1000,2,FALSE),"-")</f>
        <v>-</v>
      </c>
    </row>
    <row r="269" spans="2:2" x14ac:dyDescent="0.45">
      <c r="B269" s="2" t="str">
        <f>_xlfn.IFNA(VLOOKUP(A269,'신고 스프레드 확인'!$A$2:$B$1000,2,FALSE),"-")</f>
        <v>-</v>
      </c>
    </row>
    <row r="270" spans="2:2" x14ac:dyDescent="0.45">
      <c r="B270" s="2" t="str">
        <f>_xlfn.IFNA(VLOOKUP(A270,'신고 스프레드 확인'!$A$2:$B$1000,2,FALSE),"-")</f>
        <v>-</v>
      </c>
    </row>
    <row r="271" spans="2:2" x14ac:dyDescent="0.45">
      <c r="B271" s="2" t="str">
        <f>_xlfn.IFNA(VLOOKUP(A271,'신고 스프레드 확인'!$A$2:$B$1000,2,FALSE),"-")</f>
        <v>-</v>
      </c>
    </row>
    <row r="272" spans="2:2" x14ac:dyDescent="0.45">
      <c r="B272" s="2" t="str">
        <f>_xlfn.IFNA(VLOOKUP(A272,'신고 스프레드 확인'!$A$2:$B$1000,2,FALSE),"-")</f>
        <v>-</v>
      </c>
    </row>
    <row r="273" spans="2:2" x14ac:dyDescent="0.45">
      <c r="B273" s="2" t="str">
        <f>_xlfn.IFNA(VLOOKUP(A273,'신고 스프레드 확인'!$A$2:$B$1000,2,FALSE),"-")</f>
        <v>-</v>
      </c>
    </row>
    <row r="274" spans="2:2" x14ac:dyDescent="0.45">
      <c r="B274" s="2" t="str">
        <f>_xlfn.IFNA(VLOOKUP(A274,'신고 스프레드 확인'!$A$2:$B$1000,2,FALSE),"-")</f>
        <v>-</v>
      </c>
    </row>
    <row r="275" spans="2:2" x14ac:dyDescent="0.45">
      <c r="B275" s="2" t="str">
        <f>_xlfn.IFNA(VLOOKUP(A275,'신고 스프레드 확인'!$A$2:$B$1000,2,FALSE),"-")</f>
        <v>-</v>
      </c>
    </row>
    <row r="276" spans="2:2" x14ac:dyDescent="0.45">
      <c r="B276" s="2" t="str">
        <f>_xlfn.IFNA(VLOOKUP(A276,'신고 스프레드 확인'!$A$2:$B$1000,2,FALSE),"-")</f>
        <v>-</v>
      </c>
    </row>
    <row r="277" spans="2:2" x14ac:dyDescent="0.45">
      <c r="B277" s="2" t="str">
        <f>_xlfn.IFNA(VLOOKUP(A277,'신고 스프레드 확인'!$A$2:$B$1000,2,FALSE),"-")</f>
        <v>-</v>
      </c>
    </row>
    <row r="278" spans="2:2" x14ac:dyDescent="0.45">
      <c r="B278" s="2" t="str">
        <f>_xlfn.IFNA(VLOOKUP(A278,'신고 스프레드 확인'!$A$2:$B$1000,2,FALSE),"-")</f>
        <v>-</v>
      </c>
    </row>
    <row r="279" spans="2:2" x14ac:dyDescent="0.45">
      <c r="B279" s="2" t="str">
        <f>_xlfn.IFNA(VLOOKUP(A279,'신고 스프레드 확인'!$A$2:$B$1000,2,FALSE),"-")</f>
        <v>-</v>
      </c>
    </row>
    <row r="280" spans="2:2" x14ac:dyDescent="0.45">
      <c r="B280" s="2" t="str">
        <f>_xlfn.IFNA(VLOOKUP(A280,'신고 스프레드 확인'!$A$2:$B$1000,2,FALSE),"-")</f>
        <v>-</v>
      </c>
    </row>
    <row r="281" spans="2:2" x14ac:dyDescent="0.45">
      <c r="B281" s="2" t="str">
        <f>_xlfn.IFNA(VLOOKUP(A281,'신고 스프레드 확인'!$A$2:$B$1000,2,FALSE),"-")</f>
        <v>-</v>
      </c>
    </row>
    <row r="282" spans="2:2" x14ac:dyDescent="0.45">
      <c r="B282" s="2" t="str">
        <f>_xlfn.IFNA(VLOOKUP(A282,'신고 스프레드 확인'!$A$2:$B$1000,2,FALSE),"-")</f>
        <v>-</v>
      </c>
    </row>
    <row r="283" spans="2:2" x14ac:dyDescent="0.45">
      <c r="B283" s="2" t="str">
        <f>_xlfn.IFNA(VLOOKUP(A283,'신고 스프레드 확인'!$A$2:$B$1000,2,FALSE),"-")</f>
        <v>-</v>
      </c>
    </row>
    <row r="284" spans="2:2" x14ac:dyDescent="0.45">
      <c r="B284" s="2" t="str">
        <f>_xlfn.IFNA(VLOOKUP(A284,'신고 스프레드 확인'!$A$2:$B$1000,2,FALSE),"-")</f>
        <v>-</v>
      </c>
    </row>
    <row r="285" spans="2:2" x14ac:dyDescent="0.45">
      <c r="B285" s="2" t="str">
        <f>_xlfn.IFNA(VLOOKUP(A285,'신고 스프레드 확인'!$A$2:$B$1000,2,FALSE),"-")</f>
        <v>-</v>
      </c>
    </row>
    <row r="286" spans="2:2" x14ac:dyDescent="0.45">
      <c r="B286" s="2" t="str">
        <f>_xlfn.IFNA(VLOOKUP(A286,'신고 스프레드 확인'!$A$2:$B$1000,2,FALSE),"-")</f>
        <v>-</v>
      </c>
    </row>
    <row r="287" spans="2:2" x14ac:dyDescent="0.45">
      <c r="B287" s="2" t="str">
        <f>_xlfn.IFNA(VLOOKUP(A287,'신고 스프레드 확인'!$A$2:$B$1000,2,FALSE),"-")</f>
        <v>-</v>
      </c>
    </row>
    <row r="288" spans="2:2" x14ac:dyDescent="0.45">
      <c r="B288" s="2" t="str">
        <f>_xlfn.IFNA(VLOOKUP(A288,'신고 스프레드 확인'!$A$2:$B$1000,2,FALSE),"-")</f>
        <v>-</v>
      </c>
    </row>
    <row r="289" spans="2:2" x14ac:dyDescent="0.45">
      <c r="B289" s="2" t="str">
        <f>_xlfn.IFNA(VLOOKUP(A289,'신고 스프레드 확인'!$A$2:$B$1000,2,FALSE),"-")</f>
        <v>-</v>
      </c>
    </row>
    <row r="290" spans="2:2" x14ac:dyDescent="0.45">
      <c r="B290" s="2" t="str">
        <f>_xlfn.IFNA(VLOOKUP(A290,'신고 스프레드 확인'!$A$2:$B$1000,2,FALSE),"-")</f>
        <v>-</v>
      </c>
    </row>
    <row r="291" spans="2:2" x14ac:dyDescent="0.45">
      <c r="B291" s="2" t="str">
        <f>_xlfn.IFNA(VLOOKUP(A291,'신고 스프레드 확인'!$A$2:$B$1000,2,FALSE),"-")</f>
        <v>-</v>
      </c>
    </row>
    <row r="292" spans="2:2" x14ac:dyDescent="0.45">
      <c r="B292" s="2" t="str">
        <f>_xlfn.IFNA(VLOOKUP(A292,'신고 스프레드 확인'!$A$2:$B$1000,2,FALSE),"-")</f>
        <v>-</v>
      </c>
    </row>
    <row r="293" spans="2:2" x14ac:dyDescent="0.45">
      <c r="B293" s="2" t="str">
        <f>_xlfn.IFNA(VLOOKUP(A293,'신고 스프레드 확인'!$A$2:$B$1000,2,FALSE),"-")</f>
        <v>-</v>
      </c>
    </row>
    <row r="294" spans="2:2" x14ac:dyDescent="0.45">
      <c r="B294" s="2" t="str">
        <f>_xlfn.IFNA(VLOOKUP(A294,'신고 스프레드 확인'!$A$2:$B$1000,2,FALSE),"-")</f>
        <v>-</v>
      </c>
    </row>
    <row r="295" spans="2:2" x14ac:dyDescent="0.45">
      <c r="B295" s="2" t="str">
        <f>_xlfn.IFNA(VLOOKUP(A295,'신고 스프레드 확인'!$A$2:$B$1000,2,FALSE),"-")</f>
        <v>-</v>
      </c>
    </row>
    <row r="296" spans="2:2" x14ac:dyDescent="0.45">
      <c r="B296" s="2" t="str">
        <f>_xlfn.IFNA(VLOOKUP(A296,'신고 스프레드 확인'!$A$2:$B$1000,2,FALSE),"-")</f>
        <v>-</v>
      </c>
    </row>
    <row r="297" spans="2:2" x14ac:dyDescent="0.45">
      <c r="B297" s="2" t="str">
        <f>_xlfn.IFNA(VLOOKUP(A297,'신고 스프레드 확인'!$A$2:$B$1000,2,FALSE),"-")</f>
        <v>-</v>
      </c>
    </row>
    <row r="298" spans="2:2" x14ac:dyDescent="0.45">
      <c r="B298" s="2" t="str">
        <f>_xlfn.IFNA(VLOOKUP(A298,'신고 스프레드 확인'!$A$2:$B$1000,2,FALSE),"-")</f>
        <v>-</v>
      </c>
    </row>
    <row r="299" spans="2:2" x14ac:dyDescent="0.45">
      <c r="B299" s="2" t="str">
        <f>_xlfn.IFNA(VLOOKUP(A299,'신고 스프레드 확인'!$A$2:$B$1000,2,FALSE),"-")</f>
        <v>-</v>
      </c>
    </row>
    <row r="300" spans="2:2" x14ac:dyDescent="0.45">
      <c r="B300" s="2" t="str">
        <f>_xlfn.IFNA(VLOOKUP(A300,'신고 스프레드 확인'!$A$2:$B$1000,2,FALSE),"-")</f>
        <v>-</v>
      </c>
    </row>
    <row r="301" spans="2:2" x14ac:dyDescent="0.45">
      <c r="B301" s="2" t="str">
        <f>_xlfn.IFNA(VLOOKUP(A301,'신고 스프레드 확인'!$A$2:$B$1000,2,FALSE),"-")</f>
        <v>-</v>
      </c>
    </row>
    <row r="302" spans="2:2" x14ac:dyDescent="0.45">
      <c r="B302" s="2" t="str">
        <f>_xlfn.IFNA(VLOOKUP(A302,'신고 스프레드 확인'!$A$2:$B$1000,2,FALSE),"-")</f>
        <v>-</v>
      </c>
    </row>
    <row r="303" spans="2:2" x14ac:dyDescent="0.45">
      <c r="B303" s="2" t="str">
        <f>_xlfn.IFNA(VLOOKUP(A303,'신고 스프레드 확인'!$A$2:$B$1000,2,FALSE),"-")</f>
        <v>-</v>
      </c>
    </row>
    <row r="304" spans="2:2" x14ac:dyDescent="0.45">
      <c r="B304" s="2" t="str">
        <f>_xlfn.IFNA(VLOOKUP(A304,'신고 스프레드 확인'!$A$2:$B$1000,2,FALSE),"-")</f>
        <v>-</v>
      </c>
    </row>
    <row r="305" spans="2:2" x14ac:dyDescent="0.45">
      <c r="B305" s="2" t="str">
        <f>_xlfn.IFNA(VLOOKUP(A305,'신고 스프레드 확인'!$A$2:$B$1000,2,FALSE),"-")</f>
        <v>-</v>
      </c>
    </row>
    <row r="306" spans="2:2" x14ac:dyDescent="0.45">
      <c r="B306" s="2" t="str">
        <f>_xlfn.IFNA(VLOOKUP(A306,'신고 스프레드 확인'!$A$2:$B$1000,2,FALSE),"-")</f>
        <v>-</v>
      </c>
    </row>
    <row r="307" spans="2:2" x14ac:dyDescent="0.45">
      <c r="B307" s="2" t="str">
        <f>_xlfn.IFNA(VLOOKUP(A307,'신고 스프레드 확인'!$A$2:$B$1000,2,FALSE),"-")</f>
        <v>-</v>
      </c>
    </row>
    <row r="308" spans="2:2" x14ac:dyDescent="0.45">
      <c r="B308" s="2" t="str">
        <f>_xlfn.IFNA(VLOOKUP(A308,'신고 스프레드 확인'!$A$2:$B$1000,2,FALSE),"-")</f>
        <v>-</v>
      </c>
    </row>
    <row r="309" spans="2:2" x14ac:dyDescent="0.45">
      <c r="B309" s="2" t="str">
        <f>_xlfn.IFNA(VLOOKUP(A309,'신고 스프레드 확인'!$A$2:$B$1000,2,FALSE),"-")</f>
        <v>-</v>
      </c>
    </row>
    <row r="310" spans="2:2" x14ac:dyDescent="0.45">
      <c r="B310" s="2" t="str">
        <f>_xlfn.IFNA(VLOOKUP(A310,'신고 스프레드 확인'!$A$2:$B$1000,2,FALSE),"-")</f>
        <v>-</v>
      </c>
    </row>
    <row r="311" spans="2:2" x14ac:dyDescent="0.45">
      <c r="B311" s="2" t="str">
        <f>_xlfn.IFNA(VLOOKUP(A311,'신고 스프레드 확인'!$A$2:$B$1000,2,FALSE),"-")</f>
        <v>-</v>
      </c>
    </row>
    <row r="312" spans="2:2" x14ac:dyDescent="0.45">
      <c r="B312" s="2" t="str">
        <f>_xlfn.IFNA(VLOOKUP(A312,'신고 스프레드 확인'!$A$2:$B$1000,2,FALSE),"-")</f>
        <v>-</v>
      </c>
    </row>
    <row r="313" spans="2:2" x14ac:dyDescent="0.45">
      <c r="B313" s="2" t="str">
        <f>_xlfn.IFNA(VLOOKUP(A313,'신고 스프레드 확인'!$A$2:$B$1000,2,FALSE),"-")</f>
        <v>-</v>
      </c>
    </row>
    <row r="314" spans="2:2" x14ac:dyDescent="0.45">
      <c r="B314" s="2" t="str">
        <f>_xlfn.IFNA(VLOOKUP(A314,'신고 스프레드 확인'!$A$2:$B$1000,2,FALSE),"-")</f>
        <v>-</v>
      </c>
    </row>
    <row r="315" spans="2:2" x14ac:dyDescent="0.45">
      <c r="B315" s="2" t="str">
        <f>_xlfn.IFNA(VLOOKUP(A315,'신고 스프레드 확인'!$A$2:$B$1000,2,FALSE),"-")</f>
        <v>-</v>
      </c>
    </row>
    <row r="316" spans="2:2" x14ac:dyDescent="0.45">
      <c r="B316" s="2" t="str">
        <f>_xlfn.IFNA(VLOOKUP(A316,'신고 스프레드 확인'!$A$2:$B$1000,2,FALSE),"-")</f>
        <v>-</v>
      </c>
    </row>
    <row r="317" spans="2:2" x14ac:dyDescent="0.45">
      <c r="B317" s="2" t="str">
        <f>_xlfn.IFNA(VLOOKUP(A317,'신고 스프레드 확인'!$A$2:$B$1000,2,FALSE),"-")</f>
        <v>-</v>
      </c>
    </row>
    <row r="318" spans="2:2" x14ac:dyDescent="0.45">
      <c r="B318" s="2" t="str">
        <f>_xlfn.IFNA(VLOOKUP(A318,'신고 스프레드 확인'!$A$2:$B$1000,2,FALSE),"-")</f>
        <v>-</v>
      </c>
    </row>
    <row r="319" spans="2:2" x14ac:dyDescent="0.45">
      <c r="B319" s="2" t="str">
        <f>_xlfn.IFNA(VLOOKUP(A319,'신고 스프레드 확인'!$A$2:$B$1000,2,FALSE),"-")</f>
        <v>-</v>
      </c>
    </row>
    <row r="320" spans="2:2" x14ac:dyDescent="0.45">
      <c r="B320" s="2" t="str">
        <f>_xlfn.IFNA(VLOOKUP(A320,'신고 스프레드 확인'!$A$2:$B$1000,2,FALSE),"-")</f>
        <v>-</v>
      </c>
    </row>
    <row r="321" spans="2:2" x14ac:dyDescent="0.45">
      <c r="B321" s="2" t="str">
        <f>_xlfn.IFNA(VLOOKUP(A321,'신고 스프레드 확인'!$A$2:$B$1000,2,FALSE),"-")</f>
        <v>-</v>
      </c>
    </row>
    <row r="322" spans="2:2" x14ac:dyDescent="0.45">
      <c r="B322" s="2" t="str">
        <f>_xlfn.IFNA(VLOOKUP(A322,'신고 스프레드 확인'!$A$2:$B$1000,2,FALSE),"-")</f>
        <v>-</v>
      </c>
    </row>
    <row r="323" spans="2:2" x14ac:dyDescent="0.45">
      <c r="B323" s="2" t="str">
        <f>_xlfn.IFNA(VLOOKUP(A323,'신고 스프레드 확인'!$A$2:$B$1000,2,FALSE),"-")</f>
        <v>-</v>
      </c>
    </row>
    <row r="324" spans="2:2" x14ac:dyDescent="0.45">
      <c r="B324" s="2" t="str">
        <f>_xlfn.IFNA(VLOOKUP(A324,'신고 스프레드 확인'!$A$2:$B$1000,2,FALSE),"-")</f>
        <v>-</v>
      </c>
    </row>
    <row r="325" spans="2:2" x14ac:dyDescent="0.45">
      <c r="B325" s="2" t="str">
        <f>_xlfn.IFNA(VLOOKUP(A325,'신고 스프레드 확인'!$A$2:$B$1000,2,FALSE),"-")</f>
        <v>-</v>
      </c>
    </row>
    <row r="326" spans="2:2" x14ac:dyDescent="0.45">
      <c r="B326" s="2" t="str">
        <f>_xlfn.IFNA(VLOOKUP(A326,'신고 스프레드 확인'!$A$2:$B$1000,2,FALSE),"-")</f>
        <v>-</v>
      </c>
    </row>
    <row r="327" spans="2:2" x14ac:dyDescent="0.45">
      <c r="B327" s="2" t="str">
        <f>_xlfn.IFNA(VLOOKUP(A327,'신고 스프레드 확인'!$A$2:$B$1000,2,FALSE),"-")</f>
        <v>-</v>
      </c>
    </row>
    <row r="328" spans="2:2" x14ac:dyDescent="0.45">
      <c r="B328" s="2" t="str">
        <f>_xlfn.IFNA(VLOOKUP(A328,'신고 스프레드 확인'!$A$2:$B$1000,2,FALSE),"-")</f>
        <v>-</v>
      </c>
    </row>
    <row r="329" spans="2:2" x14ac:dyDescent="0.45">
      <c r="B329" s="2" t="str">
        <f>_xlfn.IFNA(VLOOKUP(A329,'신고 스프레드 확인'!$A$2:$B$1000,2,FALSE),"-")</f>
        <v>-</v>
      </c>
    </row>
    <row r="330" spans="2:2" x14ac:dyDescent="0.45">
      <c r="B330" s="2" t="str">
        <f>_xlfn.IFNA(VLOOKUP(A330,'신고 스프레드 확인'!$A$2:$B$1000,2,FALSE),"-")</f>
        <v>-</v>
      </c>
    </row>
    <row r="331" spans="2:2" x14ac:dyDescent="0.45">
      <c r="B331" s="2" t="str">
        <f>_xlfn.IFNA(VLOOKUP(A331,'신고 스프레드 확인'!$A$2:$B$1000,2,FALSE),"-")</f>
        <v>-</v>
      </c>
    </row>
    <row r="332" spans="2:2" x14ac:dyDescent="0.45">
      <c r="B332" s="2" t="str">
        <f>_xlfn.IFNA(VLOOKUP(A332,'신고 스프레드 확인'!$A$2:$B$1000,2,FALSE),"-")</f>
        <v>-</v>
      </c>
    </row>
    <row r="333" spans="2:2" x14ac:dyDescent="0.45">
      <c r="B333" s="2" t="str">
        <f>_xlfn.IFNA(VLOOKUP(A333,'신고 스프레드 확인'!$A$2:$B$1000,2,FALSE),"-")</f>
        <v>-</v>
      </c>
    </row>
    <row r="334" spans="2:2" x14ac:dyDescent="0.45">
      <c r="B334" s="2" t="str">
        <f>_xlfn.IFNA(VLOOKUP(A334,'신고 스프레드 확인'!$A$2:$B$1000,2,FALSE),"-")</f>
        <v>-</v>
      </c>
    </row>
    <row r="335" spans="2:2" x14ac:dyDescent="0.45">
      <c r="B335" s="2" t="str">
        <f>_xlfn.IFNA(VLOOKUP(A335,'신고 스프레드 확인'!$A$2:$B$1000,2,FALSE),"-")</f>
        <v>-</v>
      </c>
    </row>
    <row r="336" spans="2:2" x14ac:dyDescent="0.45">
      <c r="B336" s="2" t="str">
        <f>_xlfn.IFNA(VLOOKUP(A336,'신고 스프레드 확인'!$A$2:$B$1000,2,FALSE),"-")</f>
        <v>-</v>
      </c>
    </row>
    <row r="337" spans="2:2" x14ac:dyDescent="0.45">
      <c r="B337" s="2" t="str">
        <f>_xlfn.IFNA(VLOOKUP(A337,'신고 스프레드 확인'!$A$2:$B$1000,2,FALSE),"-")</f>
        <v>-</v>
      </c>
    </row>
    <row r="338" spans="2:2" x14ac:dyDescent="0.45">
      <c r="B338" s="2" t="str">
        <f>_xlfn.IFNA(VLOOKUP(A338,'신고 스프레드 확인'!$A$2:$B$1000,2,FALSE),"-")</f>
        <v>-</v>
      </c>
    </row>
    <row r="339" spans="2:2" x14ac:dyDescent="0.45">
      <c r="B339" s="2" t="str">
        <f>_xlfn.IFNA(VLOOKUP(A339,'신고 스프레드 확인'!$A$2:$B$1000,2,FALSE),"-")</f>
        <v>-</v>
      </c>
    </row>
    <row r="340" spans="2:2" x14ac:dyDescent="0.45">
      <c r="B340" s="2" t="str">
        <f>_xlfn.IFNA(VLOOKUP(A340,'신고 스프레드 확인'!$A$2:$B$1000,2,FALSE),"-")</f>
        <v>-</v>
      </c>
    </row>
    <row r="341" spans="2:2" x14ac:dyDescent="0.45">
      <c r="B341" s="2" t="str">
        <f>_xlfn.IFNA(VLOOKUP(A341,'신고 스프레드 확인'!$A$2:$B$1000,2,FALSE),"-")</f>
        <v>-</v>
      </c>
    </row>
    <row r="342" spans="2:2" x14ac:dyDescent="0.45">
      <c r="B342" s="2" t="str">
        <f>_xlfn.IFNA(VLOOKUP(A342,'신고 스프레드 확인'!$A$2:$B$1000,2,FALSE),"-")</f>
        <v>-</v>
      </c>
    </row>
    <row r="343" spans="2:2" x14ac:dyDescent="0.45">
      <c r="B343" s="2" t="str">
        <f>_xlfn.IFNA(VLOOKUP(A343,'신고 스프레드 확인'!$A$2:$B$1000,2,FALSE),"-")</f>
        <v>-</v>
      </c>
    </row>
    <row r="344" spans="2:2" x14ac:dyDescent="0.45">
      <c r="B344" s="2" t="str">
        <f>_xlfn.IFNA(VLOOKUP(A344,'신고 스프레드 확인'!$A$2:$B$1000,2,FALSE),"-")</f>
        <v>-</v>
      </c>
    </row>
    <row r="345" spans="2:2" x14ac:dyDescent="0.45">
      <c r="B345" s="2" t="str">
        <f>_xlfn.IFNA(VLOOKUP(A345,'신고 스프레드 확인'!$A$2:$B$1000,2,FALSE),"-")</f>
        <v>-</v>
      </c>
    </row>
    <row r="346" spans="2:2" x14ac:dyDescent="0.45">
      <c r="B346" s="2" t="str">
        <f>_xlfn.IFNA(VLOOKUP(A346,'신고 스프레드 확인'!$A$2:$B$1000,2,FALSE),"-")</f>
        <v>-</v>
      </c>
    </row>
    <row r="347" spans="2:2" x14ac:dyDescent="0.45">
      <c r="B347" s="2" t="str">
        <f>_xlfn.IFNA(VLOOKUP(A347,'신고 스프레드 확인'!$A$2:$B$1000,2,FALSE),"-")</f>
        <v>-</v>
      </c>
    </row>
    <row r="348" spans="2:2" x14ac:dyDescent="0.45">
      <c r="B348" s="2" t="str">
        <f>_xlfn.IFNA(VLOOKUP(A348,'신고 스프레드 확인'!$A$2:$B$1000,2,FALSE),"-")</f>
        <v>-</v>
      </c>
    </row>
    <row r="349" spans="2:2" x14ac:dyDescent="0.45">
      <c r="B349" s="2" t="str">
        <f>_xlfn.IFNA(VLOOKUP(A349,'신고 스프레드 확인'!$A$2:$B$1000,2,FALSE),"-")</f>
        <v>-</v>
      </c>
    </row>
    <row r="350" spans="2:2" x14ac:dyDescent="0.45">
      <c r="B350" s="2" t="str">
        <f>_xlfn.IFNA(VLOOKUP(A350,'신고 스프레드 확인'!$A$2:$B$1000,2,FALSE),"-")</f>
        <v>-</v>
      </c>
    </row>
    <row r="351" spans="2:2" x14ac:dyDescent="0.45">
      <c r="B351" s="2" t="str">
        <f>_xlfn.IFNA(VLOOKUP(A351,'신고 스프레드 확인'!$A$2:$B$1000,2,FALSE),"-")</f>
        <v>-</v>
      </c>
    </row>
    <row r="352" spans="2:2" x14ac:dyDescent="0.45">
      <c r="B352" s="2" t="str">
        <f>_xlfn.IFNA(VLOOKUP(A352,'신고 스프레드 확인'!$A$2:$B$1000,2,FALSE),"-")</f>
        <v>-</v>
      </c>
    </row>
    <row r="353" spans="2:2" x14ac:dyDescent="0.45">
      <c r="B353" s="2" t="str">
        <f>_xlfn.IFNA(VLOOKUP(A353,'신고 스프레드 확인'!$A$2:$B$1000,2,FALSE),"-")</f>
        <v>-</v>
      </c>
    </row>
    <row r="354" spans="2:2" x14ac:dyDescent="0.45">
      <c r="B354" s="2" t="str">
        <f>_xlfn.IFNA(VLOOKUP(A354,'신고 스프레드 확인'!$A$2:$B$1000,2,FALSE),"-")</f>
        <v>-</v>
      </c>
    </row>
    <row r="355" spans="2:2" x14ac:dyDescent="0.45">
      <c r="B355" s="2" t="str">
        <f>_xlfn.IFNA(VLOOKUP(A355,'신고 스프레드 확인'!$A$2:$B$1000,2,FALSE),"-")</f>
        <v>-</v>
      </c>
    </row>
    <row r="356" spans="2:2" x14ac:dyDescent="0.45">
      <c r="B356" s="2" t="str">
        <f>_xlfn.IFNA(VLOOKUP(A356,'신고 스프레드 확인'!$A$2:$B$1000,2,FALSE),"-")</f>
        <v>-</v>
      </c>
    </row>
    <row r="357" spans="2:2" x14ac:dyDescent="0.45">
      <c r="B357" s="2" t="str">
        <f>_xlfn.IFNA(VLOOKUP(A357,'신고 스프레드 확인'!$A$2:$B$1000,2,FALSE),"-")</f>
        <v>-</v>
      </c>
    </row>
    <row r="358" spans="2:2" x14ac:dyDescent="0.45">
      <c r="B358" s="2" t="str">
        <f>_xlfn.IFNA(VLOOKUP(A358,'신고 스프레드 확인'!$A$2:$B$1000,2,FALSE),"-")</f>
        <v>-</v>
      </c>
    </row>
    <row r="359" spans="2:2" x14ac:dyDescent="0.45">
      <c r="B359" s="2" t="str">
        <f>_xlfn.IFNA(VLOOKUP(A359,'신고 스프레드 확인'!$A$2:$B$1000,2,FALSE),"-")</f>
        <v>-</v>
      </c>
    </row>
    <row r="360" spans="2:2" x14ac:dyDescent="0.45">
      <c r="B360" s="2" t="str">
        <f>_xlfn.IFNA(VLOOKUP(A360,'신고 스프레드 확인'!$A$2:$B$1000,2,FALSE),"-")</f>
        <v>-</v>
      </c>
    </row>
    <row r="361" spans="2:2" x14ac:dyDescent="0.45">
      <c r="B361" s="2" t="str">
        <f>_xlfn.IFNA(VLOOKUP(A361,'신고 스프레드 확인'!$A$2:$B$1000,2,FALSE),"-")</f>
        <v>-</v>
      </c>
    </row>
    <row r="362" spans="2:2" x14ac:dyDescent="0.45">
      <c r="B362" s="2" t="str">
        <f>_xlfn.IFNA(VLOOKUP(A362,'신고 스프레드 확인'!$A$2:$B$1000,2,FALSE),"-")</f>
        <v>-</v>
      </c>
    </row>
    <row r="363" spans="2:2" x14ac:dyDescent="0.45">
      <c r="B363" s="2" t="str">
        <f>_xlfn.IFNA(VLOOKUP(A363,'신고 스프레드 확인'!$A$2:$B$1000,2,FALSE),"-")</f>
        <v>-</v>
      </c>
    </row>
    <row r="364" spans="2:2" x14ac:dyDescent="0.45">
      <c r="B364" s="2" t="str">
        <f>_xlfn.IFNA(VLOOKUP(A364,'신고 스프레드 확인'!$A$2:$B$1000,2,FALSE),"-")</f>
        <v>-</v>
      </c>
    </row>
    <row r="365" spans="2:2" x14ac:dyDescent="0.45">
      <c r="B365" s="2" t="str">
        <f>_xlfn.IFNA(VLOOKUP(A365,'신고 스프레드 확인'!$A$2:$B$1000,2,FALSE),"-")</f>
        <v>-</v>
      </c>
    </row>
    <row r="366" spans="2:2" x14ac:dyDescent="0.45">
      <c r="B366" s="2" t="str">
        <f>_xlfn.IFNA(VLOOKUP(A366,'신고 스프레드 확인'!$A$2:$B$1000,2,FALSE),"-")</f>
        <v>-</v>
      </c>
    </row>
    <row r="367" spans="2:2" x14ac:dyDescent="0.45">
      <c r="B367" s="2" t="str">
        <f>_xlfn.IFNA(VLOOKUP(A367,'신고 스프레드 확인'!$A$2:$B$1000,2,FALSE),"-")</f>
        <v>-</v>
      </c>
    </row>
    <row r="368" spans="2:2" x14ac:dyDescent="0.45">
      <c r="B368" s="2" t="str">
        <f>_xlfn.IFNA(VLOOKUP(A368,'신고 스프레드 확인'!$A$2:$B$1000,2,FALSE),"-")</f>
        <v>-</v>
      </c>
    </row>
    <row r="369" spans="2:2" x14ac:dyDescent="0.45">
      <c r="B369" s="2" t="str">
        <f>_xlfn.IFNA(VLOOKUP(A369,'신고 스프레드 확인'!$A$2:$B$1000,2,FALSE),"-")</f>
        <v>-</v>
      </c>
    </row>
    <row r="370" spans="2:2" x14ac:dyDescent="0.45">
      <c r="B370" s="2" t="str">
        <f>_xlfn.IFNA(VLOOKUP(A370,'신고 스프레드 확인'!$A$2:$B$1000,2,FALSE),"-")</f>
        <v>-</v>
      </c>
    </row>
    <row r="371" spans="2:2" x14ac:dyDescent="0.45">
      <c r="B371" s="2" t="str">
        <f>_xlfn.IFNA(VLOOKUP(A371,'신고 스프레드 확인'!$A$2:$B$1000,2,FALSE),"-")</f>
        <v>-</v>
      </c>
    </row>
    <row r="372" spans="2:2" x14ac:dyDescent="0.45">
      <c r="B372" s="2" t="str">
        <f>_xlfn.IFNA(VLOOKUP(A372,'신고 스프레드 확인'!$A$2:$B$1000,2,FALSE),"-")</f>
        <v>-</v>
      </c>
    </row>
    <row r="373" spans="2:2" x14ac:dyDescent="0.45">
      <c r="B373" s="2" t="str">
        <f>_xlfn.IFNA(VLOOKUP(A373,'신고 스프레드 확인'!$A$2:$B$1000,2,FALSE),"-")</f>
        <v>-</v>
      </c>
    </row>
    <row r="374" spans="2:2" x14ac:dyDescent="0.45">
      <c r="B374" s="2" t="str">
        <f>_xlfn.IFNA(VLOOKUP(A374,'신고 스프레드 확인'!$A$2:$B$1000,2,FALSE),"-")</f>
        <v>-</v>
      </c>
    </row>
    <row r="375" spans="2:2" x14ac:dyDescent="0.45">
      <c r="B375" s="2" t="str">
        <f>_xlfn.IFNA(VLOOKUP(A375,'신고 스프레드 확인'!$A$2:$B$1000,2,FALSE),"-")</f>
        <v>-</v>
      </c>
    </row>
    <row r="376" spans="2:2" x14ac:dyDescent="0.45">
      <c r="B376" s="2" t="str">
        <f>_xlfn.IFNA(VLOOKUP(A376,'신고 스프레드 확인'!$A$2:$B$1000,2,FALSE),"-")</f>
        <v>-</v>
      </c>
    </row>
    <row r="377" spans="2:2" x14ac:dyDescent="0.45">
      <c r="B377" s="2" t="str">
        <f>_xlfn.IFNA(VLOOKUP(A377,'신고 스프레드 확인'!$A$2:$B$1000,2,FALSE),"-")</f>
        <v>-</v>
      </c>
    </row>
    <row r="378" spans="2:2" x14ac:dyDescent="0.45">
      <c r="B378" s="2" t="str">
        <f>_xlfn.IFNA(VLOOKUP(A378,'신고 스프레드 확인'!$A$2:$B$1000,2,FALSE),"-")</f>
        <v>-</v>
      </c>
    </row>
    <row r="379" spans="2:2" x14ac:dyDescent="0.45">
      <c r="B379" s="2" t="str">
        <f>_xlfn.IFNA(VLOOKUP(A379,'신고 스프레드 확인'!$A$2:$B$1000,2,FALSE),"-")</f>
        <v>-</v>
      </c>
    </row>
    <row r="380" spans="2:2" x14ac:dyDescent="0.45">
      <c r="B380" s="2" t="str">
        <f>_xlfn.IFNA(VLOOKUP(A380,'신고 스프레드 확인'!$A$2:$B$1000,2,FALSE),"-")</f>
        <v>-</v>
      </c>
    </row>
    <row r="381" spans="2:2" x14ac:dyDescent="0.45">
      <c r="B381" s="2" t="str">
        <f>_xlfn.IFNA(VLOOKUP(A381,'신고 스프레드 확인'!$A$2:$B$1000,2,FALSE),"-")</f>
        <v>-</v>
      </c>
    </row>
    <row r="382" spans="2:2" x14ac:dyDescent="0.45">
      <c r="B382" s="2" t="str">
        <f>_xlfn.IFNA(VLOOKUP(A382,'신고 스프레드 확인'!$A$2:$B$1000,2,FALSE),"-")</f>
        <v>-</v>
      </c>
    </row>
    <row r="383" spans="2:2" x14ac:dyDescent="0.45">
      <c r="B383" s="2" t="str">
        <f>_xlfn.IFNA(VLOOKUP(A383,'신고 스프레드 확인'!$A$2:$B$1000,2,FALSE),"-")</f>
        <v>-</v>
      </c>
    </row>
    <row r="384" spans="2:2" x14ac:dyDescent="0.45">
      <c r="B384" s="2" t="str">
        <f>_xlfn.IFNA(VLOOKUP(A384,'신고 스프레드 확인'!$A$2:$B$1000,2,FALSE),"-")</f>
        <v>-</v>
      </c>
    </row>
    <row r="385" spans="2:2" x14ac:dyDescent="0.45">
      <c r="B385" s="2" t="str">
        <f>_xlfn.IFNA(VLOOKUP(A385,'신고 스프레드 확인'!$A$2:$B$1000,2,FALSE),"-")</f>
        <v>-</v>
      </c>
    </row>
    <row r="386" spans="2:2" x14ac:dyDescent="0.45">
      <c r="B386" s="2" t="str">
        <f>_xlfn.IFNA(VLOOKUP(A386,'신고 스프레드 확인'!$A$2:$B$1000,2,FALSE),"-")</f>
        <v>-</v>
      </c>
    </row>
    <row r="387" spans="2:2" x14ac:dyDescent="0.45">
      <c r="B387" s="2" t="str">
        <f>_xlfn.IFNA(VLOOKUP(A387,'신고 스프레드 확인'!$A$2:$B$1000,2,FALSE),"-")</f>
        <v>-</v>
      </c>
    </row>
    <row r="388" spans="2:2" x14ac:dyDescent="0.45">
      <c r="B388" s="2" t="str">
        <f>_xlfn.IFNA(VLOOKUP(A388,'신고 스프레드 확인'!$A$2:$B$1000,2,FALSE),"-")</f>
        <v>-</v>
      </c>
    </row>
    <row r="389" spans="2:2" x14ac:dyDescent="0.45">
      <c r="B389" s="2" t="str">
        <f>_xlfn.IFNA(VLOOKUP(A389,'신고 스프레드 확인'!$A$2:$B$1000,2,FALSE),"-")</f>
        <v>-</v>
      </c>
    </row>
    <row r="390" spans="2:2" x14ac:dyDescent="0.45">
      <c r="B390" s="2" t="str">
        <f>_xlfn.IFNA(VLOOKUP(A390,'신고 스프레드 확인'!$A$2:$B$1000,2,FALSE),"-")</f>
        <v>-</v>
      </c>
    </row>
    <row r="391" spans="2:2" x14ac:dyDescent="0.45">
      <c r="B391" s="2" t="str">
        <f>_xlfn.IFNA(VLOOKUP(A391,'신고 스프레드 확인'!$A$2:$B$1000,2,FALSE),"-")</f>
        <v>-</v>
      </c>
    </row>
    <row r="392" spans="2:2" x14ac:dyDescent="0.45">
      <c r="B392" s="2" t="str">
        <f>_xlfn.IFNA(VLOOKUP(A392,'신고 스프레드 확인'!$A$2:$B$1000,2,FALSE),"-")</f>
        <v>-</v>
      </c>
    </row>
    <row r="393" spans="2:2" x14ac:dyDescent="0.45">
      <c r="B393" s="2" t="str">
        <f>_xlfn.IFNA(VLOOKUP(A393,'신고 스프레드 확인'!$A$2:$B$1000,2,FALSE),"-")</f>
        <v>-</v>
      </c>
    </row>
    <row r="394" spans="2:2" x14ac:dyDescent="0.45">
      <c r="B394" s="2" t="str">
        <f>_xlfn.IFNA(VLOOKUP(A394,'신고 스프레드 확인'!$A$2:$B$1000,2,FALSE),"-")</f>
        <v>-</v>
      </c>
    </row>
    <row r="395" spans="2:2" x14ac:dyDescent="0.45">
      <c r="B395" s="2" t="str">
        <f>_xlfn.IFNA(VLOOKUP(A395,'신고 스프레드 확인'!$A$2:$B$1000,2,FALSE),"-")</f>
        <v>-</v>
      </c>
    </row>
    <row r="396" spans="2:2" x14ac:dyDescent="0.45">
      <c r="B396" s="2" t="str">
        <f>_xlfn.IFNA(VLOOKUP(A396,'신고 스프레드 확인'!$A$2:$B$1000,2,FALSE),"-")</f>
        <v>-</v>
      </c>
    </row>
    <row r="397" spans="2:2" x14ac:dyDescent="0.45">
      <c r="B397" s="2" t="str">
        <f>_xlfn.IFNA(VLOOKUP(A397,'신고 스프레드 확인'!$A$2:$B$1000,2,FALSE),"-")</f>
        <v>-</v>
      </c>
    </row>
    <row r="398" spans="2:2" x14ac:dyDescent="0.45">
      <c r="B398" s="2" t="str">
        <f>_xlfn.IFNA(VLOOKUP(A398,'신고 스프레드 확인'!$A$2:$B$1000,2,FALSE),"-")</f>
        <v>-</v>
      </c>
    </row>
    <row r="399" spans="2:2" x14ac:dyDescent="0.45">
      <c r="B399" s="2" t="str">
        <f>_xlfn.IFNA(VLOOKUP(A399,'신고 스프레드 확인'!$A$2:$B$1000,2,FALSE),"-")</f>
        <v>-</v>
      </c>
    </row>
    <row r="400" spans="2:2" x14ac:dyDescent="0.45">
      <c r="B400" s="2" t="str">
        <f>_xlfn.IFNA(VLOOKUP(A400,'신고 스프레드 확인'!$A$2:$B$1000,2,FALSE),"-")</f>
        <v>-</v>
      </c>
    </row>
    <row r="401" spans="2:2" x14ac:dyDescent="0.45">
      <c r="B401" s="2" t="str">
        <f>_xlfn.IFNA(VLOOKUP(A401,'신고 스프레드 확인'!$A$2:$B$1000,2,FALSE),"-")</f>
        <v>-</v>
      </c>
    </row>
    <row r="402" spans="2:2" x14ac:dyDescent="0.45">
      <c r="B402" s="2" t="str">
        <f>_xlfn.IFNA(VLOOKUP(A402,'신고 스프레드 확인'!$A$2:$B$1000,2,FALSE),"-")</f>
        <v>-</v>
      </c>
    </row>
    <row r="403" spans="2:2" x14ac:dyDescent="0.45">
      <c r="B403" s="2" t="str">
        <f>_xlfn.IFNA(VLOOKUP(A403,'신고 스프레드 확인'!$A$2:$B$1000,2,FALSE),"-")</f>
        <v>-</v>
      </c>
    </row>
    <row r="404" spans="2:2" x14ac:dyDescent="0.45">
      <c r="B404" s="2" t="str">
        <f>_xlfn.IFNA(VLOOKUP(A404,'신고 스프레드 확인'!$A$2:$B$1000,2,FALSE),"-")</f>
        <v>-</v>
      </c>
    </row>
    <row r="405" spans="2:2" x14ac:dyDescent="0.45">
      <c r="B405" s="2" t="str">
        <f>_xlfn.IFNA(VLOOKUP(A405,'신고 스프레드 확인'!$A$2:$B$1000,2,FALSE),"-")</f>
        <v>-</v>
      </c>
    </row>
    <row r="406" spans="2:2" x14ac:dyDescent="0.45">
      <c r="B406" s="2" t="str">
        <f>_xlfn.IFNA(VLOOKUP(A406,'신고 스프레드 확인'!$A$2:$B$1000,2,FALSE),"-")</f>
        <v>-</v>
      </c>
    </row>
    <row r="407" spans="2:2" x14ac:dyDescent="0.45">
      <c r="B407" s="2" t="str">
        <f>_xlfn.IFNA(VLOOKUP(A407,'신고 스프레드 확인'!$A$2:$B$1000,2,FALSE),"-")</f>
        <v>-</v>
      </c>
    </row>
    <row r="408" spans="2:2" x14ac:dyDescent="0.45">
      <c r="B408" s="2" t="str">
        <f>_xlfn.IFNA(VLOOKUP(A408,'신고 스프레드 확인'!$A$2:$B$1000,2,FALSE),"-")</f>
        <v>-</v>
      </c>
    </row>
    <row r="409" spans="2:2" x14ac:dyDescent="0.45">
      <c r="B409" s="2" t="str">
        <f>_xlfn.IFNA(VLOOKUP(A409,'신고 스프레드 확인'!$A$2:$B$1000,2,FALSE),"-")</f>
        <v>-</v>
      </c>
    </row>
    <row r="410" spans="2:2" x14ac:dyDescent="0.45">
      <c r="B410" s="2" t="str">
        <f>_xlfn.IFNA(VLOOKUP(A410,'신고 스프레드 확인'!$A$2:$B$1000,2,FALSE),"-")</f>
        <v>-</v>
      </c>
    </row>
    <row r="411" spans="2:2" x14ac:dyDescent="0.45">
      <c r="B411" s="2" t="str">
        <f>_xlfn.IFNA(VLOOKUP(A411,'신고 스프레드 확인'!$A$2:$B$1000,2,FALSE),"-")</f>
        <v>-</v>
      </c>
    </row>
    <row r="412" spans="2:2" x14ac:dyDescent="0.45">
      <c r="B412" s="2" t="str">
        <f>_xlfn.IFNA(VLOOKUP(A412,'신고 스프레드 확인'!$A$2:$B$1000,2,FALSE),"-")</f>
        <v>-</v>
      </c>
    </row>
    <row r="413" spans="2:2" x14ac:dyDescent="0.45">
      <c r="B413" s="2" t="str">
        <f>_xlfn.IFNA(VLOOKUP(A413,'신고 스프레드 확인'!$A$2:$B$1000,2,FALSE),"-")</f>
        <v>-</v>
      </c>
    </row>
    <row r="414" spans="2:2" x14ac:dyDescent="0.45">
      <c r="B414" s="2" t="str">
        <f>_xlfn.IFNA(VLOOKUP(A414,'신고 스프레드 확인'!$A$2:$B$1000,2,FALSE),"-")</f>
        <v>-</v>
      </c>
    </row>
    <row r="415" spans="2:2" x14ac:dyDescent="0.45">
      <c r="B415" s="2" t="str">
        <f>_xlfn.IFNA(VLOOKUP(A415,'신고 스프레드 확인'!$A$2:$B$1000,2,FALSE),"-")</f>
        <v>-</v>
      </c>
    </row>
    <row r="416" spans="2:2" x14ac:dyDescent="0.45">
      <c r="B416" s="2" t="str">
        <f>_xlfn.IFNA(VLOOKUP(A416,'신고 스프레드 확인'!$A$2:$B$1000,2,FALSE),"-")</f>
        <v>-</v>
      </c>
    </row>
    <row r="417" spans="2:2" x14ac:dyDescent="0.45">
      <c r="B417" s="2" t="str">
        <f>_xlfn.IFNA(VLOOKUP(A417,'신고 스프레드 확인'!$A$2:$B$1000,2,FALSE),"-")</f>
        <v>-</v>
      </c>
    </row>
    <row r="418" spans="2:2" x14ac:dyDescent="0.45">
      <c r="B418" s="2" t="str">
        <f>_xlfn.IFNA(VLOOKUP(A418,'신고 스프레드 확인'!$A$2:$B$1000,2,FALSE),"-")</f>
        <v>-</v>
      </c>
    </row>
    <row r="419" spans="2:2" x14ac:dyDescent="0.45">
      <c r="B419" s="2" t="str">
        <f>_xlfn.IFNA(VLOOKUP(A419,'신고 스프레드 확인'!$A$2:$B$1000,2,FALSE),"-")</f>
        <v>-</v>
      </c>
    </row>
    <row r="420" spans="2:2" x14ac:dyDescent="0.45">
      <c r="B420" s="2" t="str">
        <f>_xlfn.IFNA(VLOOKUP(A420,'신고 스프레드 확인'!$A$2:$B$1000,2,FALSE),"-")</f>
        <v>-</v>
      </c>
    </row>
    <row r="421" spans="2:2" x14ac:dyDescent="0.45">
      <c r="B421" s="2" t="str">
        <f>_xlfn.IFNA(VLOOKUP(A421,'신고 스프레드 확인'!$A$2:$B$1000,2,FALSE),"-")</f>
        <v>-</v>
      </c>
    </row>
    <row r="422" spans="2:2" x14ac:dyDescent="0.45">
      <c r="B422" s="2" t="str">
        <f>_xlfn.IFNA(VLOOKUP(A422,'신고 스프레드 확인'!$A$2:$B$1000,2,FALSE),"-")</f>
        <v>-</v>
      </c>
    </row>
    <row r="423" spans="2:2" x14ac:dyDescent="0.45">
      <c r="B423" s="2" t="str">
        <f>_xlfn.IFNA(VLOOKUP(A423,'신고 스프레드 확인'!$A$2:$B$1000,2,FALSE),"-")</f>
        <v>-</v>
      </c>
    </row>
    <row r="424" spans="2:2" x14ac:dyDescent="0.45">
      <c r="B424" s="2" t="str">
        <f>_xlfn.IFNA(VLOOKUP(A424,'신고 스프레드 확인'!$A$2:$B$1000,2,FALSE),"-")</f>
        <v>-</v>
      </c>
    </row>
    <row r="425" spans="2:2" x14ac:dyDescent="0.45">
      <c r="B425" s="2" t="str">
        <f>_xlfn.IFNA(VLOOKUP(A425,'신고 스프레드 확인'!$A$2:$B$1000,2,FALSE),"-")</f>
        <v>-</v>
      </c>
    </row>
    <row r="426" spans="2:2" x14ac:dyDescent="0.45">
      <c r="B426" s="2" t="str">
        <f>_xlfn.IFNA(VLOOKUP(A426,'신고 스프레드 확인'!$A$2:$B$1000,2,FALSE),"-")</f>
        <v>-</v>
      </c>
    </row>
    <row r="427" spans="2:2" x14ac:dyDescent="0.45">
      <c r="B427" s="2" t="str">
        <f>_xlfn.IFNA(VLOOKUP(A427,'신고 스프레드 확인'!$A$2:$B$1000,2,FALSE),"-")</f>
        <v>-</v>
      </c>
    </row>
    <row r="428" spans="2:2" x14ac:dyDescent="0.45">
      <c r="B428" s="2" t="str">
        <f>_xlfn.IFNA(VLOOKUP(A428,'신고 스프레드 확인'!$A$2:$B$1000,2,FALSE),"-")</f>
        <v>-</v>
      </c>
    </row>
    <row r="429" spans="2:2" x14ac:dyDescent="0.45">
      <c r="B429" s="2" t="str">
        <f>_xlfn.IFNA(VLOOKUP(A429,'신고 스프레드 확인'!$A$2:$B$1000,2,FALSE),"-")</f>
        <v>-</v>
      </c>
    </row>
    <row r="430" spans="2:2" x14ac:dyDescent="0.45">
      <c r="B430" s="2" t="str">
        <f>_xlfn.IFNA(VLOOKUP(A430,'신고 스프레드 확인'!$A$2:$B$1000,2,FALSE),"-")</f>
        <v>-</v>
      </c>
    </row>
    <row r="431" spans="2:2" x14ac:dyDescent="0.45">
      <c r="B431" s="2" t="str">
        <f>_xlfn.IFNA(VLOOKUP(A431,'신고 스프레드 확인'!$A$2:$B$1000,2,FALSE),"-")</f>
        <v>-</v>
      </c>
    </row>
    <row r="432" spans="2:2" x14ac:dyDescent="0.45">
      <c r="B432" s="2" t="str">
        <f>_xlfn.IFNA(VLOOKUP(A432,'신고 스프레드 확인'!$A$2:$B$1000,2,FALSE),"-")</f>
        <v>-</v>
      </c>
    </row>
    <row r="433" spans="2:2" x14ac:dyDescent="0.45">
      <c r="B433" s="2" t="str">
        <f>_xlfn.IFNA(VLOOKUP(A433,'신고 스프레드 확인'!$A$2:$B$1000,2,FALSE),"-")</f>
        <v>-</v>
      </c>
    </row>
    <row r="434" spans="2:2" x14ac:dyDescent="0.45">
      <c r="B434" s="2" t="str">
        <f>_xlfn.IFNA(VLOOKUP(A434,'신고 스프레드 확인'!$A$2:$B$1000,2,FALSE),"-")</f>
        <v>-</v>
      </c>
    </row>
    <row r="435" spans="2:2" x14ac:dyDescent="0.45">
      <c r="B435" s="2" t="str">
        <f>_xlfn.IFNA(VLOOKUP(A435,'신고 스프레드 확인'!$A$2:$B$1000,2,FALSE),"-")</f>
        <v>-</v>
      </c>
    </row>
    <row r="436" spans="2:2" x14ac:dyDescent="0.45">
      <c r="B436" s="2" t="str">
        <f>_xlfn.IFNA(VLOOKUP(A436,'신고 스프레드 확인'!$A$2:$B$1000,2,FALSE),"-")</f>
        <v>-</v>
      </c>
    </row>
    <row r="437" spans="2:2" x14ac:dyDescent="0.45">
      <c r="B437" s="2" t="str">
        <f>_xlfn.IFNA(VLOOKUP(A437,'신고 스프레드 확인'!$A$2:$B$1000,2,FALSE),"-")</f>
        <v>-</v>
      </c>
    </row>
    <row r="438" spans="2:2" x14ac:dyDescent="0.45">
      <c r="B438" s="2" t="str">
        <f>_xlfn.IFNA(VLOOKUP(A438,'신고 스프레드 확인'!$A$2:$B$1000,2,FALSE),"-")</f>
        <v>-</v>
      </c>
    </row>
    <row r="439" spans="2:2" x14ac:dyDescent="0.45">
      <c r="B439" s="2" t="str">
        <f>_xlfn.IFNA(VLOOKUP(A439,'신고 스프레드 확인'!$A$2:$B$1000,2,FALSE),"-")</f>
        <v>-</v>
      </c>
    </row>
    <row r="440" spans="2:2" x14ac:dyDescent="0.45">
      <c r="B440" s="2" t="str">
        <f>_xlfn.IFNA(VLOOKUP(A440,'신고 스프레드 확인'!$A$2:$B$1000,2,FALSE),"-")</f>
        <v>-</v>
      </c>
    </row>
    <row r="441" spans="2:2" x14ac:dyDescent="0.45">
      <c r="B441" s="2" t="str">
        <f>_xlfn.IFNA(VLOOKUP(A441,'신고 스프레드 확인'!$A$2:$B$1000,2,FALSE),"-")</f>
        <v>-</v>
      </c>
    </row>
    <row r="442" spans="2:2" x14ac:dyDescent="0.45">
      <c r="B442" s="2" t="str">
        <f>_xlfn.IFNA(VLOOKUP(A442,'신고 스프레드 확인'!$A$2:$B$1000,2,FALSE),"-")</f>
        <v>-</v>
      </c>
    </row>
    <row r="443" spans="2:2" x14ac:dyDescent="0.45">
      <c r="B443" s="2" t="str">
        <f>_xlfn.IFNA(VLOOKUP(A443,'신고 스프레드 확인'!$A$2:$B$1000,2,FALSE),"-")</f>
        <v>-</v>
      </c>
    </row>
    <row r="444" spans="2:2" x14ac:dyDescent="0.45">
      <c r="B444" s="2" t="str">
        <f>_xlfn.IFNA(VLOOKUP(A444,'신고 스프레드 확인'!$A$2:$B$1000,2,FALSE),"-")</f>
        <v>-</v>
      </c>
    </row>
    <row r="445" spans="2:2" x14ac:dyDescent="0.45">
      <c r="B445" s="2" t="str">
        <f>_xlfn.IFNA(VLOOKUP(A445,'신고 스프레드 확인'!$A$2:$B$1000,2,FALSE),"-")</f>
        <v>-</v>
      </c>
    </row>
    <row r="446" spans="2:2" x14ac:dyDescent="0.45">
      <c r="B446" s="2" t="str">
        <f>_xlfn.IFNA(VLOOKUP(A446,'신고 스프레드 확인'!$A$2:$B$1000,2,FALSE),"-")</f>
        <v>-</v>
      </c>
    </row>
    <row r="447" spans="2:2" x14ac:dyDescent="0.45">
      <c r="B447" s="2" t="str">
        <f>_xlfn.IFNA(VLOOKUP(A447,'신고 스프레드 확인'!$A$2:$B$1000,2,FALSE),"-")</f>
        <v>-</v>
      </c>
    </row>
    <row r="448" spans="2:2" x14ac:dyDescent="0.45">
      <c r="B448" s="2" t="str">
        <f>_xlfn.IFNA(VLOOKUP(A448,'신고 스프레드 확인'!$A$2:$B$1000,2,FALSE),"-")</f>
        <v>-</v>
      </c>
    </row>
    <row r="449" spans="2:2" x14ac:dyDescent="0.45">
      <c r="B449" s="2" t="str">
        <f>_xlfn.IFNA(VLOOKUP(A449,'신고 스프레드 확인'!$A$2:$B$1000,2,FALSE),"-")</f>
        <v>-</v>
      </c>
    </row>
    <row r="450" spans="2:2" x14ac:dyDescent="0.45">
      <c r="B450" s="2" t="str">
        <f>_xlfn.IFNA(VLOOKUP(A450,'신고 스프레드 확인'!$A$2:$B$1000,2,FALSE),"-")</f>
        <v>-</v>
      </c>
    </row>
    <row r="451" spans="2:2" x14ac:dyDescent="0.45">
      <c r="B451" s="2" t="str">
        <f>_xlfn.IFNA(VLOOKUP(A451,'신고 스프레드 확인'!$A$2:$B$1000,2,FALSE),"-")</f>
        <v>-</v>
      </c>
    </row>
    <row r="452" spans="2:2" x14ac:dyDescent="0.45">
      <c r="B452" s="2" t="str">
        <f>_xlfn.IFNA(VLOOKUP(A452,'신고 스프레드 확인'!$A$2:$B$1000,2,FALSE),"-")</f>
        <v>-</v>
      </c>
    </row>
    <row r="453" spans="2:2" x14ac:dyDescent="0.45">
      <c r="B453" s="2" t="str">
        <f>_xlfn.IFNA(VLOOKUP(A453,'신고 스프레드 확인'!$A$2:$B$1000,2,FALSE),"-")</f>
        <v>-</v>
      </c>
    </row>
    <row r="454" spans="2:2" x14ac:dyDescent="0.45">
      <c r="B454" s="2" t="str">
        <f>_xlfn.IFNA(VLOOKUP(A454,'신고 스프레드 확인'!$A$2:$B$1000,2,FALSE),"-")</f>
        <v>-</v>
      </c>
    </row>
    <row r="455" spans="2:2" x14ac:dyDescent="0.45">
      <c r="B455" s="2" t="str">
        <f>_xlfn.IFNA(VLOOKUP(A455,'신고 스프레드 확인'!$A$2:$B$1000,2,FALSE),"-")</f>
        <v>-</v>
      </c>
    </row>
    <row r="456" spans="2:2" x14ac:dyDescent="0.45">
      <c r="B456" s="2" t="str">
        <f>_xlfn.IFNA(VLOOKUP(A456,'신고 스프레드 확인'!$A$2:$B$1000,2,FALSE),"-")</f>
        <v>-</v>
      </c>
    </row>
    <row r="457" spans="2:2" x14ac:dyDescent="0.45">
      <c r="B457" s="2" t="str">
        <f>_xlfn.IFNA(VLOOKUP(A457,'신고 스프레드 확인'!$A$2:$B$1000,2,FALSE),"-")</f>
        <v>-</v>
      </c>
    </row>
    <row r="458" spans="2:2" x14ac:dyDescent="0.45">
      <c r="B458" s="2" t="str">
        <f>_xlfn.IFNA(VLOOKUP(A458,'신고 스프레드 확인'!$A$2:$B$1000,2,FALSE),"-")</f>
        <v>-</v>
      </c>
    </row>
    <row r="459" spans="2:2" x14ac:dyDescent="0.45">
      <c r="B459" s="2" t="str">
        <f>_xlfn.IFNA(VLOOKUP(A459,'신고 스프레드 확인'!$A$2:$B$1000,2,FALSE),"-")</f>
        <v>-</v>
      </c>
    </row>
    <row r="460" spans="2:2" x14ac:dyDescent="0.45">
      <c r="B460" s="2" t="str">
        <f>_xlfn.IFNA(VLOOKUP(A460,'신고 스프레드 확인'!$A$2:$B$1000,2,FALSE),"-")</f>
        <v>-</v>
      </c>
    </row>
    <row r="461" spans="2:2" x14ac:dyDescent="0.45">
      <c r="B461" s="2" t="str">
        <f>_xlfn.IFNA(VLOOKUP(A461,'신고 스프레드 확인'!$A$2:$B$1000,2,FALSE),"-")</f>
        <v>-</v>
      </c>
    </row>
    <row r="462" spans="2:2" x14ac:dyDescent="0.45">
      <c r="B462" s="2" t="str">
        <f>_xlfn.IFNA(VLOOKUP(A462,'신고 스프레드 확인'!$A$2:$B$1000,2,FALSE),"-")</f>
        <v>-</v>
      </c>
    </row>
    <row r="463" spans="2:2" x14ac:dyDescent="0.45">
      <c r="B463" s="2" t="str">
        <f>_xlfn.IFNA(VLOOKUP(A463,'신고 스프레드 확인'!$A$2:$B$1000,2,FALSE),"-")</f>
        <v>-</v>
      </c>
    </row>
    <row r="464" spans="2:2" x14ac:dyDescent="0.45">
      <c r="B464" s="2" t="str">
        <f>_xlfn.IFNA(VLOOKUP(A464,'신고 스프레드 확인'!$A$2:$B$1000,2,FALSE),"-")</f>
        <v>-</v>
      </c>
    </row>
    <row r="465" spans="2:2" x14ac:dyDescent="0.45">
      <c r="B465" s="2" t="str">
        <f>_xlfn.IFNA(VLOOKUP(A465,'신고 스프레드 확인'!$A$2:$B$1000,2,FALSE),"-")</f>
        <v>-</v>
      </c>
    </row>
    <row r="466" spans="2:2" x14ac:dyDescent="0.45">
      <c r="B466" s="2" t="str">
        <f>_xlfn.IFNA(VLOOKUP(A466,'신고 스프레드 확인'!$A$2:$B$1000,2,FALSE),"-")</f>
        <v>-</v>
      </c>
    </row>
    <row r="467" spans="2:2" x14ac:dyDescent="0.45">
      <c r="B467" s="2" t="str">
        <f>_xlfn.IFNA(VLOOKUP(A467,'신고 스프레드 확인'!$A$2:$B$1000,2,FALSE),"-")</f>
        <v>-</v>
      </c>
    </row>
    <row r="468" spans="2:2" x14ac:dyDescent="0.45">
      <c r="B468" s="2" t="str">
        <f>_xlfn.IFNA(VLOOKUP(A468,'신고 스프레드 확인'!$A$2:$B$1000,2,FALSE),"-")</f>
        <v>-</v>
      </c>
    </row>
    <row r="469" spans="2:2" x14ac:dyDescent="0.45">
      <c r="B469" s="2" t="str">
        <f>_xlfn.IFNA(VLOOKUP(A469,'신고 스프레드 확인'!$A$2:$B$1000,2,FALSE),"-")</f>
        <v>-</v>
      </c>
    </row>
    <row r="470" spans="2:2" x14ac:dyDescent="0.45">
      <c r="B470" s="2" t="str">
        <f>_xlfn.IFNA(VLOOKUP(A470,'신고 스프레드 확인'!$A$2:$B$1000,2,FALSE),"-")</f>
        <v>-</v>
      </c>
    </row>
    <row r="471" spans="2:2" x14ac:dyDescent="0.45">
      <c r="B471" s="2" t="str">
        <f>_xlfn.IFNA(VLOOKUP(A471,'신고 스프레드 확인'!$A$2:$B$1000,2,FALSE),"-")</f>
        <v>-</v>
      </c>
    </row>
    <row r="472" spans="2:2" x14ac:dyDescent="0.45">
      <c r="B472" s="2" t="str">
        <f>_xlfn.IFNA(VLOOKUP(A472,'신고 스프레드 확인'!$A$2:$B$1000,2,FALSE),"-")</f>
        <v>-</v>
      </c>
    </row>
    <row r="473" spans="2:2" x14ac:dyDescent="0.45">
      <c r="B473" s="2" t="str">
        <f>_xlfn.IFNA(VLOOKUP(A473,'신고 스프레드 확인'!$A$2:$B$1000,2,FALSE),"-")</f>
        <v>-</v>
      </c>
    </row>
    <row r="474" spans="2:2" x14ac:dyDescent="0.45">
      <c r="B474" s="2" t="str">
        <f>_xlfn.IFNA(VLOOKUP(A474,'신고 스프레드 확인'!$A$2:$B$1000,2,FALSE),"-")</f>
        <v>-</v>
      </c>
    </row>
    <row r="475" spans="2:2" x14ac:dyDescent="0.45">
      <c r="B475" s="2" t="str">
        <f>_xlfn.IFNA(VLOOKUP(A475,'신고 스프레드 확인'!$A$2:$B$1000,2,FALSE),"-")</f>
        <v>-</v>
      </c>
    </row>
    <row r="476" spans="2:2" x14ac:dyDescent="0.45">
      <c r="B476" s="2" t="str">
        <f>_xlfn.IFNA(VLOOKUP(A476,'신고 스프레드 확인'!$A$2:$B$1000,2,FALSE),"-")</f>
        <v>-</v>
      </c>
    </row>
    <row r="477" spans="2:2" x14ac:dyDescent="0.45">
      <c r="B477" s="2" t="str">
        <f>_xlfn.IFNA(VLOOKUP(A477,'신고 스프레드 확인'!$A$2:$B$1000,2,FALSE),"-")</f>
        <v>-</v>
      </c>
    </row>
    <row r="478" spans="2:2" x14ac:dyDescent="0.45">
      <c r="B478" s="2" t="str">
        <f>_xlfn.IFNA(VLOOKUP(A478,'신고 스프레드 확인'!$A$2:$B$1000,2,FALSE),"-")</f>
        <v>-</v>
      </c>
    </row>
    <row r="479" spans="2:2" x14ac:dyDescent="0.45">
      <c r="B479" s="2" t="str">
        <f>_xlfn.IFNA(VLOOKUP(A479,'신고 스프레드 확인'!$A$2:$B$1000,2,FALSE),"-")</f>
        <v>-</v>
      </c>
    </row>
    <row r="480" spans="2:2" x14ac:dyDescent="0.45">
      <c r="B480" s="2" t="str">
        <f>_xlfn.IFNA(VLOOKUP(A480,'신고 스프레드 확인'!$A$2:$B$1000,2,FALSE),"-")</f>
        <v>-</v>
      </c>
    </row>
    <row r="481" spans="2:2" x14ac:dyDescent="0.45">
      <c r="B481" s="2" t="str">
        <f>_xlfn.IFNA(VLOOKUP(A481,'신고 스프레드 확인'!$A$2:$B$1000,2,FALSE),"-")</f>
        <v>-</v>
      </c>
    </row>
    <row r="482" spans="2:2" x14ac:dyDescent="0.45">
      <c r="B482" s="2" t="str">
        <f>_xlfn.IFNA(VLOOKUP(A482,'신고 스프레드 확인'!$A$2:$B$1000,2,FALSE),"-")</f>
        <v>-</v>
      </c>
    </row>
    <row r="483" spans="2:2" x14ac:dyDescent="0.45">
      <c r="B483" s="2" t="str">
        <f>_xlfn.IFNA(VLOOKUP(A483,'신고 스프레드 확인'!$A$2:$B$1000,2,FALSE),"-")</f>
        <v>-</v>
      </c>
    </row>
    <row r="484" spans="2:2" x14ac:dyDescent="0.45">
      <c r="B484" s="2" t="str">
        <f>_xlfn.IFNA(VLOOKUP(A484,'신고 스프레드 확인'!$A$2:$B$1000,2,FALSE),"-")</f>
        <v>-</v>
      </c>
    </row>
    <row r="485" spans="2:2" x14ac:dyDescent="0.45">
      <c r="B485" s="2" t="str">
        <f>_xlfn.IFNA(VLOOKUP(A485,'신고 스프레드 확인'!$A$2:$B$1000,2,FALSE),"-")</f>
        <v>-</v>
      </c>
    </row>
    <row r="486" spans="2:2" x14ac:dyDescent="0.45">
      <c r="B486" s="2" t="str">
        <f>_xlfn.IFNA(VLOOKUP(A486,'신고 스프레드 확인'!$A$2:$B$1000,2,FALSE),"-")</f>
        <v>-</v>
      </c>
    </row>
    <row r="487" spans="2:2" x14ac:dyDescent="0.45">
      <c r="B487" s="2" t="str">
        <f>_xlfn.IFNA(VLOOKUP(A487,'신고 스프레드 확인'!$A$2:$B$1000,2,FALSE),"-")</f>
        <v>-</v>
      </c>
    </row>
    <row r="488" spans="2:2" x14ac:dyDescent="0.45">
      <c r="B488" s="2" t="str">
        <f>_xlfn.IFNA(VLOOKUP(A488,'신고 스프레드 확인'!$A$2:$B$1000,2,FALSE),"-")</f>
        <v>-</v>
      </c>
    </row>
    <row r="489" spans="2:2" x14ac:dyDescent="0.45">
      <c r="B489" s="2" t="str">
        <f>_xlfn.IFNA(VLOOKUP(A489,'신고 스프레드 확인'!$A$2:$B$1000,2,FALSE),"-")</f>
        <v>-</v>
      </c>
    </row>
    <row r="490" spans="2:2" x14ac:dyDescent="0.45">
      <c r="B490" s="2" t="str">
        <f>_xlfn.IFNA(VLOOKUP(A490,'신고 스프레드 확인'!$A$2:$B$1000,2,FALSE),"-")</f>
        <v>-</v>
      </c>
    </row>
    <row r="491" spans="2:2" x14ac:dyDescent="0.45">
      <c r="B491" s="2" t="str">
        <f>_xlfn.IFNA(VLOOKUP(A491,'신고 스프레드 확인'!$A$2:$B$1000,2,FALSE),"-")</f>
        <v>-</v>
      </c>
    </row>
    <row r="492" spans="2:2" x14ac:dyDescent="0.45">
      <c r="B492" s="2" t="str">
        <f>_xlfn.IFNA(VLOOKUP(A492,'신고 스프레드 확인'!$A$2:$B$1000,2,FALSE),"-")</f>
        <v>-</v>
      </c>
    </row>
    <row r="493" spans="2:2" x14ac:dyDescent="0.45">
      <c r="B493" s="2" t="str">
        <f>_xlfn.IFNA(VLOOKUP(A493,'신고 스프레드 확인'!$A$2:$B$1000,2,FALSE),"-")</f>
        <v>-</v>
      </c>
    </row>
    <row r="494" spans="2:2" x14ac:dyDescent="0.45">
      <c r="B494" s="2" t="str">
        <f>_xlfn.IFNA(VLOOKUP(A494,'신고 스프레드 확인'!$A$2:$B$1000,2,FALSE),"-")</f>
        <v>-</v>
      </c>
    </row>
    <row r="495" spans="2:2" x14ac:dyDescent="0.45">
      <c r="B495" s="2" t="str">
        <f>_xlfn.IFNA(VLOOKUP(A495,'신고 스프레드 확인'!$A$2:$B$1000,2,FALSE),"-")</f>
        <v>-</v>
      </c>
    </row>
    <row r="496" spans="2:2" x14ac:dyDescent="0.45">
      <c r="B496" s="2" t="str">
        <f>_xlfn.IFNA(VLOOKUP(A496,'신고 스프레드 확인'!$A$2:$B$1000,2,FALSE),"-")</f>
        <v>-</v>
      </c>
    </row>
    <row r="497" spans="2:2" x14ac:dyDescent="0.45">
      <c r="B497" s="2" t="str">
        <f>_xlfn.IFNA(VLOOKUP(A497,'신고 스프레드 확인'!$A$2:$B$1000,2,FALSE),"-")</f>
        <v>-</v>
      </c>
    </row>
    <row r="498" spans="2:2" x14ac:dyDescent="0.45">
      <c r="B498" s="2" t="str">
        <f>_xlfn.IFNA(VLOOKUP(A498,'신고 스프레드 확인'!$A$2:$B$1000,2,FALSE),"-")</f>
        <v>-</v>
      </c>
    </row>
    <row r="499" spans="2:2" x14ac:dyDescent="0.45">
      <c r="B499" s="2" t="str">
        <f>_xlfn.IFNA(VLOOKUP(A499,'신고 스프레드 확인'!$A$2:$B$1000,2,FALSE),"-")</f>
        <v>-</v>
      </c>
    </row>
    <row r="500" spans="2:2" x14ac:dyDescent="0.45">
      <c r="B500" s="2" t="str">
        <f>_xlfn.IFNA(VLOOKUP(A500,'신고 스프레드 확인'!$A$2:$B$1000,2,FALSE),"-")</f>
        <v>-</v>
      </c>
    </row>
    <row r="501" spans="2:2" x14ac:dyDescent="0.45">
      <c r="B501" s="2" t="str">
        <f>_xlfn.IFNA(VLOOKUP(A501,'신고 스프레드 확인'!$A$2:$B$1000,2,FALSE),"-")</f>
        <v>-</v>
      </c>
    </row>
    <row r="502" spans="2:2" x14ac:dyDescent="0.45">
      <c r="B502" s="2" t="str">
        <f>_xlfn.IFNA(VLOOKUP(A502,'신고 스프레드 확인'!$A$2:$B$1000,2,FALSE),"-")</f>
        <v>-</v>
      </c>
    </row>
    <row r="503" spans="2:2" x14ac:dyDescent="0.45">
      <c r="B503" s="2" t="str">
        <f>_xlfn.IFNA(VLOOKUP(A503,'신고 스프레드 확인'!$A$2:$B$1000,2,FALSE),"-")</f>
        <v>-</v>
      </c>
    </row>
    <row r="504" spans="2:2" x14ac:dyDescent="0.45">
      <c r="B504" s="2" t="str">
        <f>_xlfn.IFNA(VLOOKUP(A504,'신고 스프레드 확인'!$A$2:$B$1000,2,FALSE),"-")</f>
        <v>-</v>
      </c>
    </row>
    <row r="505" spans="2:2" x14ac:dyDescent="0.45">
      <c r="B505" s="2" t="str">
        <f>_xlfn.IFNA(VLOOKUP(A505,'신고 스프레드 확인'!$A$2:$B$1000,2,FALSE),"-")</f>
        <v>-</v>
      </c>
    </row>
    <row r="506" spans="2:2" x14ac:dyDescent="0.45">
      <c r="B506" s="2" t="str">
        <f>_xlfn.IFNA(VLOOKUP(A506,'신고 스프레드 확인'!$A$2:$B$1000,2,FALSE),"-")</f>
        <v>-</v>
      </c>
    </row>
    <row r="507" spans="2:2" x14ac:dyDescent="0.45">
      <c r="B507" s="2" t="str">
        <f>_xlfn.IFNA(VLOOKUP(A507,'신고 스프레드 확인'!$A$2:$B$1000,2,FALSE),"-")</f>
        <v>-</v>
      </c>
    </row>
    <row r="508" spans="2:2" x14ac:dyDescent="0.45">
      <c r="B508" s="2" t="str">
        <f>_xlfn.IFNA(VLOOKUP(A508,'신고 스프레드 확인'!$A$2:$B$1000,2,FALSE),"-")</f>
        <v>-</v>
      </c>
    </row>
    <row r="509" spans="2:2" x14ac:dyDescent="0.45">
      <c r="B509" s="2" t="str">
        <f>_xlfn.IFNA(VLOOKUP(A509,'신고 스프레드 확인'!$A$2:$B$1000,2,FALSE),"-")</f>
        <v>-</v>
      </c>
    </row>
    <row r="510" spans="2:2" x14ac:dyDescent="0.45">
      <c r="B510" s="2" t="str">
        <f>_xlfn.IFNA(VLOOKUP(A510,'신고 스프레드 확인'!$A$2:$B$1000,2,FALSE),"-")</f>
        <v>-</v>
      </c>
    </row>
    <row r="511" spans="2:2" x14ac:dyDescent="0.45">
      <c r="B511" s="2" t="str">
        <f>_xlfn.IFNA(VLOOKUP(A511,'신고 스프레드 확인'!$A$2:$B$1000,2,FALSE),"-")</f>
        <v>-</v>
      </c>
    </row>
    <row r="512" spans="2:2" x14ac:dyDescent="0.45">
      <c r="B512" s="2" t="str">
        <f>_xlfn.IFNA(VLOOKUP(A512,'신고 스프레드 확인'!$A$2:$B$1000,2,FALSE),"-")</f>
        <v>-</v>
      </c>
    </row>
    <row r="513" spans="2:2" x14ac:dyDescent="0.45">
      <c r="B513" s="2" t="str">
        <f>_xlfn.IFNA(VLOOKUP(A513,'신고 스프레드 확인'!$A$2:$B$1000,2,FALSE),"-")</f>
        <v>-</v>
      </c>
    </row>
    <row r="514" spans="2:2" x14ac:dyDescent="0.45">
      <c r="B514" s="2" t="str">
        <f>_xlfn.IFNA(VLOOKUP(A514,'신고 스프레드 확인'!$A$2:$B$1000,2,FALSE),"-")</f>
        <v>-</v>
      </c>
    </row>
    <row r="515" spans="2:2" x14ac:dyDescent="0.45">
      <c r="B515" s="2" t="str">
        <f>_xlfn.IFNA(VLOOKUP(A515,'신고 스프레드 확인'!$A$2:$B$1000,2,FALSE),"-")</f>
        <v>-</v>
      </c>
    </row>
    <row r="516" spans="2:2" x14ac:dyDescent="0.45">
      <c r="B516" s="2" t="str">
        <f>_xlfn.IFNA(VLOOKUP(A516,'신고 스프레드 확인'!$A$2:$B$1000,2,FALSE),"-")</f>
        <v>-</v>
      </c>
    </row>
    <row r="517" spans="2:2" x14ac:dyDescent="0.45">
      <c r="B517" s="2" t="str">
        <f>_xlfn.IFNA(VLOOKUP(A517,'신고 스프레드 확인'!$A$2:$B$1000,2,FALSE),"-")</f>
        <v>-</v>
      </c>
    </row>
    <row r="518" spans="2:2" x14ac:dyDescent="0.45">
      <c r="B518" s="2" t="str">
        <f>_xlfn.IFNA(VLOOKUP(A518,'신고 스프레드 확인'!$A$2:$B$1000,2,FALSE),"-")</f>
        <v>-</v>
      </c>
    </row>
    <row r="519" spans="2:2" x14ac:dyDescent="0.45">
      <c r="B519" s="2" t="str">
        <f>_xlfn.IFNA(VLOOKUP(A519,'신고 스프레드 확인'!$A$2:$B$1000,2,FALSE),"-")</f>
        <v>-</v>
      </c>
    </row>
    <row r="520" spans="2:2" x14ac:dyDescent="0.45">
      <c r="B520" s="2" t="str">
        <f>_xlfn.IFNA(VLOOKUP(A520,'신고 스프레드 확인'!$A$2:$B$1000,2,FALSE),"-")</f>
        <v>-</v>
      </c>
    </row>
    <row r="521" spans="2:2" x14ac:dyDescent="0.45">
      <c r="B521" s="2" t="str">
        <f>_xlfn.IFNA(VLOOKUP(A521,'신고 스프레드 확인'!$A$2:$B$1000,2,FALSE),"-")</f>
        <v>-</v>
      </c>
    </row>
    <row r="522" spans="2:2" x14ac:dyDescent="0.45">
      <c r="B522" s="2" t="str">
        <f>_xlfn.IFNA(VLOOKUP(A522,'신고 스프레드 확인'!$A$2:$B$1000,2,FALSE),"-")</f>
        <v>-</v>
      </c>
    </row>
    <row r="523" spans="2:2" x14ac:dyDescent="0.45">
      <c r="B523" s="2" t="str">
        <f>_xlfn.IFNA(VLOOKUP(A523,'신고 스프레드 확인'!$A$2:$B$1000,2,FALSE),"-")</f>
        <v>-</v>
      </c>
    </row>
    <row r="524" spans="2:2" x14ac:dyDescent="0.45">
      <c r="B524" s="2" t="str">
        <f>_xlfn.IFNA(VLOOKUP(A524,'신고 스프레드 확인'!$A$2:$B$1000,2,FALSE),"-")</f>
        <v>-</v>
      </c>
    </row>
    <row r="525" spans="2:2" x14ac:dyDescent="0.45">
      <c r="B525" s="2" t="str">
        <f>_xlfn.IFNA(VLOOKUP(A525,'신고 스프레드 확인'!$A$2:$B$1000,2,FALSE),"-")</f>
        <v>-</v>
      </c>
    </row>
    <row r="526" spans="2:2" x14ac:dyDescent="0.45">
      <c r="B526" s="2" t="str">
        <f>_xlfn.IFNA(VLOOKUP(A526,'신고 스프레드 확인'!$A$2:$B$1000,2,FALSE),"-")</f>
        <v>-</v>
      </c>
    </row>
    <row r="527" spans="2:2" x14ac:dyDescent="0.45">
      <c r="B527" s="2" t="str">
        <f>_xlfn.IFNA(VLOOKUP(A527,'신고 스프레드 확인'!$A$2:$B$1000,2,FALSE),"-")</f>
        <v>-</v>
      </c>
    </row>
    <row r="528" spans="2:2" x14ac:dyDescent="0.45">
      <c r="B528" s="2" t="str">
        <f>_xlfn.IFNA(VLOOKUP(A528,'신고 스프레드 확인'!$A$2:$B$1000,2,FALSE),"-")</f>
        <v>-</v>
      </c>
    </row>
    <row r="529" spans="2:2" x14ac:dyDescent="0.45">
      <c r="B529" s="2" t="str">
        <f>_xlfn.IFNA(VLOOKUP(A529,'신고 스프레드 확인'!$A$2:$B$1000,2,FALSE),"-")</f>
        <v>-</v>
      </c>
    </row>
    <row r="530" spans="2:2" x14ac:dyDescent="0.45">
      <c r="B530" s="2" t="str">
        <f>_xlfn.IFNA(VLOOKUP(A530,'신고 스프레드 확인'!$A$2:$B$1000,2,FALSE),"-")</f>
        <v>-</v>
      </c>
    </row>
    <row r="531" spans="2:2" x14ac:dyDescent="0.45">
      <c r="B531" s="2" t="str">
        <f>_xlfn.IFNA(VLOOKUP(A531,'신고 스프레드 확인'!$A$2:$B$1000,2,FALSE),"-")</f>
        <v>-</v>
      </c>
    </row>
    <row r="532" spans="2:2" x14ac:dyDescent="0.45">
      <c r="B532" s="2" t="str">
        <f>_xlfn.IFNA(VLOOKUP(A532,'신고 스프레드 확인'!$A$2:$B$1000,2,FALSE),"-")</f>
        <v>-</v>
      </c>
    </row>
    <row r="533" spans="2:2" x14ac:dyDescent="0.45">
      <c r="B533" s="2" t="str">
        <f>_xlfn.IFNA(VLOOKUP(A533,'신고 스프레드 확인'!$A$2:$B$1000,2,FALSE),"-")</f>
        <v>-</v>
      </c>
    </row>
    <row r="534" spans="2:2" x14ac:dyDescent="0.45">
      <c r="B534" s="2" t="str">
        <f>_xlfn.IFNA(VLOOKUP(A534,'신고 스프레드 확인'!$A$2:$B$1000,2,FALSE),"-")</f>
        <v>-</v>
      </c>
    </row>
    <row r="535" spans="2:2" x14ac:dyDescent="0.45">
      <c r="B535" s="2" t="str">
        <f>_xlfn.IFNA(VLOOKUP(A535,'신고 스프레드 확인'!$A$2:$B$1000,2,FALSE),"-")</f>
        <v>-</v>
      </c>
    </row>
    <row r="536" spans="2:2" x14ac:dyDescent="0.45">
      <c r="B536" s="2" t="str">
        <f>_xlfn.IFNA(VLOOKUP(A536,'신고 스프레드 확인'!$A$2:$B$1000,2,FALSE),"-")</f>
        <v>-</v>
      </c>
    </row>
    <row r="537" spans="2:2" x14ac:dyDescent="0.45">
      <c r="B537" s="2" t="str">
        <f>_xlfn.IFNA(VLOOKUP(A537,'신고 스프레드 확인'!$A$2:$B$1000,2,FALSE),"-")</f>
        <v>-</v>
      </c>
    </row>
    <row r="538" spans="2:2" x14ac:dyDescent="0.45">
      <c r="B538" s="2" t="str">
        <f>_xlfn.IFNA(VLOOKUP(A538,'신고 스프레드 확인'!$A$2:$B$1000,2,FALSE),"-")</f>
        <v>-</v>
      </c>
    </row>
    <row r="539" spans="2:2" x14ac:dyDescent="0.45">
      <c r="B539" s="2" t="str">
        <f>_xlfn.IFNA(VLOOKUP(A539,'신고 스프레드 확인'!$A$2:$B$1000,2,FALSE),"-")</f>
        <v>-</v>
      </c>
    </row>
    <row r="540" spans="2:2" x14ac:dyDescent="0.45">
      <c r="B540" s="2" t="str">
        <f>_xlfn.IFNA(VLOOKUP(A540,'신고 스프레드 확인'!$A$2:$B$1000,2,FALSE),"-")</f>
        <v>-</v>
      </c>
    </row>
    <row r="541" spans="2:2" x14ac:dyDescent="0.45">
      <c r="B541" s="2" t="str">
        <f>_xlfn.IFNA(VLOOKUP(A541,'신고 스프레드 확인'!$A$2:$B$1000,2,FALSE),"-")</f>
        <v>-</v>
      </c>
    </row>
    <row r="542" spans="2:2" x14ac:dyDescent="0.45">
      <c r="B542" s="2" t="str">
        <f>_xlfn.IFNA(VLOOKUP(A542,'신고 스프레드 확인'!$A$2:$B$1000,2,FALSE),"-")</f>
        <v>-</v>
      </c>
    </row>
    <row r="543" spans="2:2" x14ac:dyDescent="0.45">
      <c r="B543" s="2" t="str">
        <f>_xlfn.IFNA(VLOOKUP(A543,'신고 스프레드 확인'!$A$2:$B$1000,2,FALSE),"-")</f>
        <v>-</v>
      </c>
    </row>
    <row r="544" spans="2:2" x14ac:dyDescent="0.45">
      <c r="B544" s="2" t="str">
        <f>_xlfn.IFNA(VLOOKUP(A544,'신고 스프레드 확인'!$A$2:$B$1000,2,FALSE),"-")</f>
        <v>-</v>
      </c>
    </row>
    <row r="545" spans="2:2" x14ac:dyDescent="0.45">
      <c r="B545" s="2" t="str">
        <f>_xlfn.IFNA(VLOOKUP(A545,'신고 스프레드 확인'!$A$2:$B$1000,2,FALSE),"-")</f>
        <v>-</v>
      </c>
    </row>
    <row r="546" spans="2:2" x14ac:dyDescent="0.45">
      <c r="B546" s="2" t="str">
        <f>_xlfn.IFNA(VLOOKUP(A546,'신고 스프레드 확인'!$A$2:$B$1000,2,FALSE),"-")</f>
        <v>-</v>
      </c>
    </row>
    <row r="547" spans="2:2" x14ac:dyDescent="0.45">
      <c r="B547" s="2" t="str">
        <f>_xlfn.IFNA(VLOOKUP(A547,'신고 스프레드 확인'!$A$2:$B$1000,2,FALSE),"-")</f>
        <v>-</v>
      </c>
    </row>
    <row r="548" spans="2:2" x14ac:dyDescent="0.45">
      <c r="B548" s="2" t="str">
        <f>_xlfn.IFNA(VLOOKUP(A548,'신고 스프레드 확인'!$A$2:$B$1000,2,FALSE),"-")</f>
        <v>-</v>
      </c>
    </row>
    <row r="549" spans="2:2" x14ac:dyDescent="0.45">
      <c r="B549" s="2" t="str">
        <f>_xlfn.IFNA(VLOOKUP(A549,'신고 스프레드 확인'!$A$2:$B$1000,2,FALSE),"-")</f>
        <v>-</v>
      </c>
    </row>
    <row r="550" spans="2:2" x14ac:dyDescent="0.45">
      <c r="B550" s="2" t="str">
        <f>_xlfn.IFNA(VLOOKUP(A550,'신고 스프레드 확인'!$A$2:$B$1000,2,FALSE),"-")</f>
        <v>-</v>
      </c>
    </row>
    <row r="551" spans="2:2" x14ac:dyDescent="0.45">
      <c r="B551" s="2" t="str">
        <f>_xlfn.IFNA(VLOOKUP(A551,'신고 스프레드 확인'!$A$2:$B$1000,2,FALSE),"-")</f>
        <v>-</v>
      </c>
    </row>
    <row r="552" spans="2:2" x14ac:dyDescent="0.45">
      <c r="B552" s="2" t="str">
        <f>_xlfn.IFNA(VLOOKUP(A552,'신고 스프레드 확인'!$A$2:$B$1000,2,FALSE),"-")</f>
        <v>-</v>
      </c>
    </row>
    <row r="553" spans="2:2" x14ac:dyDescent="0.45">
      <c r="B553" s="2" t="str">
        <f>_xlfn.IFNA(VLOOKUP(A553,'신고 스프레드 확인'!$A$2:$B$1000,2,FALSE),"-")</f>
        <v>-</v>
      </c>
    </row>
    <row r="554" spans="2:2" x14ac:dyDescent="0.45">
      <c r="B554" s="2" t="str">
        <f>_xlfn.IFNA(VLOOKUP(A554,'신고 스프레드 확인'!$A$2:$B$1000,2,FALSE),"-")</f>
        <v>-</v>
      </c>
    </row>
    <row r="555" spans="2:2" x14ac:dyDescent="0.45">
      <c r="B555" s="2" t="str">
        <f>_xlfn.IFNA(VLOOKUP(A555,'신고 스프레드 확인'!$A$2:$B$1000,2,FALSE),"-")</f>
        <v>-</v>
      </c>
    </row>
    <row r="556" spans="2:2" x14ac:dyDescent="0.45">
      <c r="B556" s="2" t="str">
        <f>_xlfn.IFNA(VLOOKUP(A556,'신고 스프레드 확인'!$A$2:$B$1000,2,FALSE),"-")</f>
        <v>-</v>
      </c>
    </row>
    <row r="557" spans="2:2" x14ac:dyDescent="0.45">
      <c r="B557" s="2" t="str">
        <f>_xlfn.IFNA(VLOOKUP(A557,'신고 스프레드 확인'!$A$2:$B$1000,2,FALSE),"-")</f>
        <v>-</v>
      </c>
    </row>
    <row r="558" spans="2:2" x14ac:dyDescent="0.45">
      <c r="B558" s="2" t="str">
        <f>_xlfn.IFNA(VLOOKUP(A558,'신고 스프레드 확인'!$A$2:$B$1000,2,FALSE),"-")</f>
        <v>-</v>
      </c>
    </row>
    <row r="559" spans="2:2" x14ac:dyDescent="0.45">
      <c r="B559" s="2" t="str">
        <f>_xlfn.IFNA(VLOOKUP(A559,'신고 스프레드 확인'!$A$2:$B$1000,2,FALSE),"-")</f>
        <v>-</v>
      </c>
    </row>
    <row r="560" spans="2:2" x14ac:dyDescent="0.45">
      <c r="B560" s="2" t="str">
        <f>_xlfn.IFNA(VLOOKUP(A560,'신고 스프레드 확인'!$A$2:$B$1000,2,FALSE),"-")</f>
        <v>-</v>
      </c>
    </row>
    <row r="561" spans="2:2" x14ac:dyDescent="0.45">
      <c r="B561" s="2" t="str">
        <f>_xlfn.IFNA(VLOOKUP(A561,'신고 스프레드 확인'!$A$2:$B$1000,2,FALSE),"-")</f>
        <v>-</v>
      </c>
    </row>
    <row r="562" spans="2:2" x14ac:dyDescent="0.45">
      <c r="B562" s="2" t="str">
        <f>_xlfn.IFNA(VLOOKUP(A562,'신고 스프레드 확인'!$A$2:$B$1000,2,FALSE),"-")</f>
        <v>-</v>
      </c>
    </row>
    <row r="563" spans="2:2" x14ac:dyDescent="0.45">
      <c r="B563" s="2" t="str">
        <f>_xlfn.IFNA(VLOOKUP(A563,'신고 스프레드 확인'!$A$2:$B$1000,2,FALSE),"-")</f>
        <v>-</v>
      </c>
    </row>
    <row r="564" spans="2:2" x14ac:dyDescent="0.45">
      <c r="B564" s="2" t="str">
        <f>_xlfn.IFNA(VLOOKUP(A564,'신고 스프레드 확인'!$A$2:$B$1000,2,FALSE),"-")</f>
        <v>-</v>
      </c>
    </row>
    <row r="565" spans="2:2" x14ac:dyDescent="0.45">
      <c r="B565" s="2" t="str">
        <f>_xlfn.IFNA(VLOOKUP(A565,'신고 스프레드 확인'!$A$2:$B$1000,2,FALSE),"-")</f>
        <v>-</v>
      </c>
    </row>
    <row r="566" spans="2:2" x14ac:dyDescent="0.45">
      <c r="B566" s="2" t="str">
        <f>_xlfn.IFNA(VLOOKUP(A566,'신고 스프레드 확인'!$A$2:$B$1000,2,FALSE),"-")</f>
        <v>-</v>
      </c>
    </row>
    <row r="567" spans="2:2" x14ac:dyDescent="0.45">
      <c r="B567" s="2" t="str">
        <f>_xlfn.IFNA(VLOOKUP(A567,'신고 스프레드 확인'!$A$2:$B$1000,2,FALSE),"-")</f>
        <v>-</v>
      </c>
    </row>
    <row r="568" spans="2:2" x14ac:dyDescent="0.45">
      <c r="B568" s="2" t="str">
        <f>_xlfn.IFNA(VLOOKUP(A568,'신고 스프레드 확인'!$A$2:$B$1000,2,FALSE),"-")</f>
        <v>-</v>
      </c>
    </row>
    <row r="569" spans="2:2" x14ac:dyDescent="0.45">
      <c r="B569" s="2" t="str">
        <f>_xlfn.IFNA(VLOOKUP(A569,'신고 스프레드 확인'!$A$2:$B$1000,2,FALSE),"-")</f>
        <v>-</v>
      </c>
    </row>
    <row r="570" spans="2:2" x14ac:dyDescent="0.45">
      <c r="B570" s="2" t="str">
        <f>_xlfn.IFNA(VLOOKUP(A570,'신고 스프레드 확인'!$A$2:$B$1000,2,FALSE),"-")</f>
        <v>-</v>
      </c>
    </row>
    <row r="571" spans="2:2" x14ac:dyDescent="0.45">
      <c r="B571" s="2" t="str">
        <f>_xlfn.IFNA(VLOOKUP(A571,'신고 스프레드 확인'!$A$2:$B$1000,2,FALSE),"-")</f>
        <v>-</v>
      </c>
    </row>
    <row r="572" spans="2:2" x14ac:dyDescent="0.45">
      <c r="B572" s="2" t="str">
        <f>_xlfn.IFNA(VLOOKUP(A572,'신고 스프레드 확인'!$A$2:$B$1000,2,FALSE),"-")</f>
        <v>-</v>
      </c>
    </row>
    <row r="573" spans="2:2" x14ac:dyDescent="0.45">
      <c r="B573" s="2" t="str">
        <f>_xlfn.IFNA(VLOOKUP(A573,'신고 스프레드 확인'!$A$2:$B$1000,2,FALSE),"-")</f>
        <v>-</v>
      </c>
    </row>
    <row r="574" spans="2:2" x14ac:dyDescent="0.45">
      <c r="B574" s="2" t="str">
        <f>_xlfn.IFNA(VLOOKUP(A574,'신고 스프레드 확인'!$A$2:$B$1000,2,FALSE),"-")</f>
        <v>-</v>
      </c>
    </row>
    <row r="575" spans="2:2" x14ac:dyDescent="0.45">
      <c r="B575" s="2" t="str">
        <f>_xlfn.IFNA(VLOOKUP(A575,'신고 스프레드 확인'!$A$2:$B$1000,2,FALSE),"-")</f>
        <v>-</v>
      </c>
    </row>
    <row r="576" spans="2:2" x14ac:dyDescent="0.45">
      <c r="B576" s="2" t="str">
        <f>_xlfn.IFNA(VLOOKUP(A576,'신고 스프레드 확인'!$A$2:$B$1000,2,FALSE),"-")</f>
        <v>-</v>
      </c>
    </row>
    <row r="577" spans="2:2" x14ac:dyDescent="0.45">
      <c r="B577" s="2" t="str">
        <f>_xlfn.IFNA(VLOOKUP(A577,'신고 스프레드 확인'!$A$2:$B$1000,2,FALSE),"-")</f>
        <v>-</v>
      </c>
    </row>
    <row r="578" spans="2:2" x14ac:dyDescent="0.45">
      <c r="B578" s="2" t="str">
        <f>_xlfn.IFNA(VLOOKUP(A578,'신고 스프레드 확인'!$A$2:$B$1000,2,FALSE),"-")</f>
        <v>-</v>
      </c>
    </row>
    <row r="579" spans="2:2" x14ac:dyDescent="0.45">
      <c r="B579" s="2" t="str">
        <f>_xlfn.IFNA(VLOOKUP(A579,'신고 스프레드 확인'!$A$2:$B$1000,2,FALSE),"-")</f>
        <v>-</v>
      </c>
    </row>
    <row r="580" spans="2:2" x14ac:dyDescent="0.45">
      <c r="B580" s="2" t="str">
        <f>_xlfn.IFNA(VLOOKUP(A580,'신고 스프레드 확인'!$A$2:$B$1000,2,FALSE),"-")</f>
        <v>-</v>
      </c>
    </row>
    <row r="581" spans="2:2" x14ac:dyDescent="0.45">
      <c r="B581" s="2" t="str">
        <f>_xlfn.IFNA(VLOOKUP(A581,'신고 스프레드 확인'!$A$2:$B$1000,2,FALSE),"-")</f>
        <v>-</v>
      </c>
    </row>
    <row r="582" spans="2:2" x14ac:dyDescent="0.45">
      <c r="B582" s="2" t="str">
        <f>_xlfn.IFNA(VLOOKUP(A582,'신고 스프레드 확인'!$A$2:$B$1000,2,FALSE),"-")</f>
        <v>-</v>
      </c>
    </row>
    <row r="583" spans="2:2" x14ac:dyDescent="0.45">
      <c r="B583" s="2" t="str">
        <f>_xlfn.IFNA(VLOOKUP(A583,'신고 스프레드 확인'!$A$2:$B$1000,2,FALSE),"-")</f>
        <v>-</v>
      </c>
    </row>
    <row r="584" spans="2:2" x14ac:dyDescent="0.45">
      <c r="B584" s="2" t="str">
        <f>_xlfn.IFNA(VLOOKUP(A584,'신고 스프레드 확인'!$A$2:$B$1000,2,FALSE),"-")</f>
        <v>-</v>
      </c>
    </row>
    <row r="585" spans="2:2" x14ac:dyDescent="0.45">
      <c r="B585" s="2" t="str">
        <f>_xlfn.IFNA(VLOOKUP(A585,'신고 스프레드 확인'!$A$2:$B$1000,2,FALSE),"-")</f>
        <v>-</v>
      </c>
    </row>
    <row r="586" spans="2:2" x14ac:dyDescent="0.45">
      <c r="B586" s="2" t="str">
        <f>_xlfn.IFNA(VLOOKUP(A586,'신고 스프레드 확인'!$A$2:$B$1000,2,FALSE),"-")</f>
        <v>-</v>
      </c>
    </row>
    <row r="587" spans="2:2" x14ac:dyDescent="0.45">
      <c r="B587" s="2" t="str">
        <f>_xlfn.IFNA(VLOOKUP(A587,'신고 스프레드 확인'!$A$2:$B$1000,2,FALSE),"-")</f>
        <v>-</v>
      </c>
    </row>
    <row r="588" spans="2:2" x14ac:dyDescent="0.45">
      <c r="B588" s="2" t="str">
        <f>_xlfn.IFNA(VLOOKUP(A588,'신고 스프레드 확인'!$A$2:$B$1000,2,FALSE),"-")</f>
        <v>-</v>
      </c>
    </row>
    <row r="589" spans="2:2" x14ac:dyDescent="0.45">
      <c r="B589" s="2" t="str">
        <f>_xlfn.IFNA(VLOOKUP(A589,'신고 스프레드 확인'!$A$2:$B$1000,2,FALSE),"-")</f>
        <v>-</v>
      </c>
    </row>
    <row r="590" spans="2:2" x14ac:dyDescent="0.45">
      <c r="B590" s="2" t="str">
        <f>_xlfn.IFNA(VLOOKUP(A590,'신고 스프레드 확인'!$A$2:$B$1000,2,FALSE),"-")</f>
        <v>-</v>
      </c>
    </row>
    <row r="591" spans="2:2" x14ac:dyDescent="0.45">
      <c r="B591" s="2" t="str">
        <f>_xlfn.IFNA(VLOOKUP(A591,'신고 스프레드 확인'!$A$2:$B$1000,2,FALSE),"-")</f>
        <v>-</v>
      </c>
    </row>
    <row r="592" spans="2:2" x14ac:dyDescent="0.45">
      <c r="B592" s="2" t="str">
        <f>_xlfn.IFNA(VLOOKUP(A592,'신고 스프레드 확인'!$A$2:$B$1000,2,FALSE),"-")</f>
        <v>-</v>
      </c>
    </row>
    <row r="593" spans="2:2" x14ac:dyDescent="0.45">
      <c r="B593" s="2" t="str">
        <f>_xlfn.IFNA(VLOOKUP(A593,'신고 스프레드 확인'!$A$2:$B$1000,2,FALSE),"-")</f>
        <v>-</v>
      </c>
    </row>
    <row r="594" spans="2:2" x14ac:dyDescent="0.45">
      <c r="B594" s="2" t="str">
        <f>_xlfn.IFNA(VLOOKUP(A594,'신고 스프레드 확인'!$A$2:$B$1000,2,FALSE),"-")</f>
        <v>-</v>
      </c>
    </row>
    <row r="595" spans="2:2" x14ac:dyDescent="0.45">
      <c r="B595" s="2" t="str">
        <f>_xlfn.IFNA(VLOOKUP(A595,'신고 스프레드 확인'!$A$2:$B$1000,2,FALSE),"-")</f>
        <v>-</v>
      </c>
    </row>
    <row r="596" spans="2:2" x14ac:dyDescent="0.45">
      <c r="B596" s="2" t="str">
        <f>_xlfn.IFNA(VLOOKUP(A596,'신고 스프레드 확인'!$A$2:$B$1000,2,FALSE),"-")</f>
        <v>-</v>
      </c>
    </row>
    <row r="597" spans="2:2" x14ac:dyDescent="0.45">
      <c r="B597" s="2" t="str">
        <f>_xlfn.IFNA(VLOOKUP(A597,'신고 스프레드 확인'!$A$2:$B$1000,2,FALSE),"-")</f>
        <v>-</v>
      </c>
    </row>
    <row r="598" spans="2:2" x14ac:dyDescent="0.45">
      <c r="B598" s="2" t="str">
        <f>_xlfn.IFNA(VLOOKUP(A598,'신고 스프레드 확인'!$A$2:$B$1000,2,FALSE),"-")</f>
        <v>-</v>
      </c>
    </row>
    <row r="599" spans="2:2" x14ac:dyDescent="0.45">
      <c r="B599" s="2" t="str">
        <f>_xlfn.IFNA(VLOOKUP(A599,'신고 스프레드 확인'!$A$2:$B$1000,2,FALSE),"-")</f>
        <v>-</v>
      </c>
    </row>
    <row r="600" spans="2:2" x14ac:dyDescent="0.45">
      <c r="B600" s="2" t="str">
        <f>_xlfn.IFNA(VLOOKUP(A600,'신고 스프레드 확인'!$A$2:$B$1000,2,FALSE),"-")</f>
        <v>-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B2387-E316-4138-A607-AC4697C7F2C9}">
  <dimension ref="A1:D600"/>
  <sheetViews>
    <sheetView workbookViewId="0">
      <selection activeCell="B30" sqref="B30"/>
    </sheetView>
  </sheetViews>
  <sheetFormatPr defaultRowHeight="16" x14ac:dyDescent="0.45"/>
  <cols>
    <col min="1" max="1" width="19.6640625" style="21" bestFit="1" customWidth="1"/>
    <col min="2" max="2" width="18.58203125" style="2" customWidth="1"/>
    <col min="3" max="3" width="12.5" style="21" bestFit="1" customWidth="1"/>
    <col min="4" max="4" width="14.4140625" style="22" bestFit="1" customWidth="1"/>
    <col min="5" max="16384" width="8.6640625" style="20"/>
  </cols>
  <sheetData>
    <row r="1" spans="1:4" ht="32" customHeight="1" x14ac:dyDescent="0.45">
      <c r="A1" s="13" t="s">
        <v>852</v>
      </c>
      <c r="B1" s="9" t="s">
        <v>853</v>
      </c>
      <c r="C1" s="9" t="s">
        <v>854</v>
      </c>
      <c r="D1" s="9" t="s">
        <v>855</v>
      </c>
    </row>
    <row r="2" spans="1:4" x14ac:dyDescent="0.45">
      <c r="B2" s="2" t="str">
        <f>_xlfn.IFNA(VLOOKUP(A2,'[1]신고 스프레드 확인'!$A$2:$B$1000,2,FALSE),"-")</f>
        <v>-</v>
      </c>
      <c r="C2" s="23"/>
    </row>
    <row r="3" spans="1:4" x14ac:dyDescent="0.45">
      <c r="B3" s="2" t="str">
        <f>_xlfn.IFNA(VLOOKUP(A3,'[1]신고 스프레드 확인'!$A$2:$B$1000,2,FALSE),"-")</f>
        <v>-</v>
      </c>
      <c r="C3" s="23"/>
    </row>
    <row r="4" spans="1:4" x14ac:dyDescent="0.45">
      <c r="B4" s="2" t="str">
        <f>_xlfn.IFNA(VLOOKUP(A4,'[1]신고 스프레드 확인'!$A$2:$B$1000,2,FALSE),"-")</f>
        <v>-</v>
      </c>
      <c r="C4" s="23"/>
    </row>
    <row r="5" spans="1:4" x14ac:dyDescent="0.45">
      <c r="B5" s="2" t="str">
        <f>_xlfn.IFNA(VLOOKUP(A5,'[1]신고 스프레드 확인'!$A$2:$B$1000,2,FALSE),"-")</f>
        <v>-</v>
      </c>
      <c r="C5" s="23"/>
    </row>
    <row r="6" spans="1:4" x14ac:dyDescent="0.45">
      <c r="B6" s="2" t="str">
        <f>_xlfn.IFNA(VLOOKUP(A6,'[1]신고 스프레드 확인'!$A$2:$B$1000,2,FALSE),"-")</f>
        <v>-</v>
      </c>
      <c r="C6" s="23"/>
    </row>
    <row r="7" spans="1:4" x14ac:dyDescent="0.45">
      <c r="B7" s="2" t="str">
        <f>_xlfn.IFNA(VLOOKUP(A7,'[1]신고 스프레드 확인'!$A$2:$B$1000,2,FALSE),"-")</f>
        <v>-</v>
      </c>
      <c r="C7" s="23"/>
    </row>
    <row r="8" spans="1:4" x14ac:dyDescent="0.45">
      <c r="B8" s="2" t="str">
        <f>_xlfn.IFNA(VLOOKUP(A8,'[1]신고 스프레드 확인'!$A$2:$B$1000,2,FALSE),"-")</f>
        <v>-</v>
      </c>
      <c r="C8" s="23"/>
    </row>
    <row r="9" spans="1:4" x14ac:dyDescent="0.45">
      <c r="B9" s="2" t="str">
        <f>_xlfn.IFNA(VLOOKUP(A9,'[1]신고 스프레드 확인'!$A$2:$B$1000,2,FALSE),"-")</f>
        <v>-</v>
      </c>
      <c r="C9" s="23"/>
    </row>
    <row r="10" spans="1:4" x14ac:dyDescent="0.45">
      <c r="B10" s="2" t="str">
        <f>_xlfn.IFNA(VLOOKUP(A10,'[1]신고 스프레드 확인'!$A$2:$B$1000,2,FALSE),"-")</f>
        <v>-</v>
      </c>
      <c r="C10" s="23"/>
    </row>
    <row r="11" spans="1:4" x14ac:dyDescent="0.45">
      <c r="B11" s="2" t="str">
        <f>_xlfn.IFNA(VLOOKUP(A11,'[1]신고 스프레드 확인'!$A$2:$B$1000,2,FALSE),"-")</f>
        <v>-</v>
      </c>
      <c r="C11" s="23"/>
    </row>
    <row r="12" spans="1:4" x14ac:dyDescent="0.45">
      <c r="B12" s="2" t="str">
        <f>_xlfn.IFNA(VLOOKUP(A12,'[1]신고 스프레드 확인'!$A$2:$B$1000,2,FALSE),"-")</f>
        <v>-</v>
      </c>
      <c r="C12" s="23"/>
    </row>
    <row r="13" spans="1:4" x14ac:dyDescent="0.45">
      <c r="B13" s="2" t="str">
        <f>_xlfn.IFNA(VLOOKUP(A13,'[1]신고 스프레드 확인'!$A$2:$B$1000,2,FALSE),"-")</f>
        <v>-</v>
      </c>
      <c r="C13" s="23"/>
    </row>
    <row r="14" spans="1:4" x14ac:dyDescent="0.45">
      <c r="B14" s="2" t="str">
        <f>_xlfn.IFNA(VLOOKUP(A14,'[1]신고 스프레드 확인'!$A$2:$B$1000,2,FALSE),"-")</f>
        <v>-</v>
      </c>
      <c r="C14" s="23"/>
    </row>
    <row r="15" spans="1:4" x14ac:dyDescent="0.45">
      <c r="B15" s="2" t="str">
        <f>_xlfn.IFNA(VLOOKUP(A15,'[1]신고 스프레드 확인'!$A$2:$B$1000,2,FALSE),"-")</f>
        <v>-</v>
      </c>
      <c r="C15" s="23"/>
    </row>
    <row r="16" spans="1:4" x14ac:dyDescent="0.45">
      <c r="B16" s="2" t="str">
        <f>_xlfn.IFNA(VLOOKUP(A16,'[1]신고 스프레드 확인'!$A$2:$B$1000,2,FALSE),"-")</f>
        <v>-</v>
      </c>
      <c r="C16" s="23"/>
    </row>
    <row r="17" spans="2:3" x14ac:dyDescent="0.45">
      <c r="B17" s="2" t="str">
        <f>_xlfn.IFNA(VLOOKUP(A17,'[1]신고 스프레드 확인'!$A$2:$B$1000,2,FALSE),"-")</f>
        <v>-</v>
      </c>
      <c r="C17" s="23"/>
    </row>
    <row r="18" spans="2:3" x14ac:dyDescent="0.45">
      <c r="B18" s="2" t="str">
        <f>_xlfn.IFNA(VLOOKUP(A18,'[1]신고 스프레드 확인'!$A$2:$B$1000,2,FALSE),"-")</f>
        <v>-</v>
      </c>
      <c r="C18" s="23"/>
    </row>
    <row r="19" spans="2:3" x14ac:dyDescent="0.45">
      <c r="B19" s="2" t="str">
        <f>_xlfn.IFNA(VLOOKUP(A19,'[1]신고 스프레드 확인'!$A$2:$B$1000,2,FALSE),"-")</f>
        <v>-</v>
      </c>
      <c r="C19" s="23"/>
    </row>
    <row r="20" spans="2:3" x14ac:dyDescent="0.45">
      <c r="B20" s="2" t="str">
        <f>_xlfn.IFNA(VLOOKUP(A20,'[1]신고 스프레드 확인'!$A$2:$B$1000,2,FALSE),"-")</f>
        <v>-</v>
      </c>
      <c r="C20" s="23"/>
    </row>
    <row r="21" spans="2:3" x14ac:dyDescent="0.45">
      <c r="B21" s="2" t="str">
        <f>_xlfn.IFNA(VLOOKUP(A21,'[1]신고 스프레드 확인'!$A$2:$B$1000,2,FALSE),"-")</f>
        <v>-</v>
      </c>
      <c r="C21" s="23"/>
    </row>
    <row r="22" spans="2:3" x14ac:dyDescent="0.45">
      <c r="B22" s="2" t="str">
        <f>_xlfn.IFNA(VLOOKUP(A22,'[1]신고 스프레드 확인'!$A$2:$B$1000,2,FALSE),"-")</f>
        <v>-</v>
      </c>
      <c r="C22" s="23"/>
    </row>
    <row r="23" spans="2:3" x14ac:dyDescent="0.45">
      <c r="B23" s="2" t="str">
        <f>_xlfn.IFNA(VLOOKUP(A23,'[1]신고 스프레드 확인'!$A$2:$B$1000,2,FALSE),"-")</f>
        <v>-</v>
      </c>
      <c r="C23" s="23"/>
    </row>
    <row r="24" spans="2:3" x14ac:dyDescent="0.45">
      <c r="B24" s="2" t="str">
        <f>_xlfn.IFNA(VLOOKUP(A24,'[1]신고 스프레드 확인'!$A$2:$B$1000,2,FALSE),"-")</f>
        <v>-</v>
      </c>
      <c r="C24" s="23"/>
    </row>
    <row r="25" spans="2:3" x14ac:dyDescent="0.45">
      <c r="B25" s="2" t="str">
        <f>_xlfn.IFNA(VLOOKUP(A25,'[1]신고 스프레드 확인'!$A$2:$B$1000,2,FALSE),"-")</f>
        <v>-</v>
      </c>
      <c r="C25" s="23"/>
    </row>
    <row r="26" spans="2:3" x14ac:dyDescent="0.45">
      <c r="B26" s="2" t="str">
        <f>_xlfn.IFNA(VLOOKUP(A26,'[1]신고 스프레드 확인'!$A$2:$B$1000,2,FALSE),"-")</f>
        <v>-</v>
      </c>
      <c r="C26" s="23"/>
    </row>
    <row r="27" spans="2:3" x14ac:dyDescent="0.45">
      <c r="B27" s="2" t="str">
        <f>_xlfn.IFNA(VLOOKUP(A27,'[1]신고 스프레드 확인'!$A$2:$B$1000,2,FALSE),"-")</f>
        <v>-</v>
      </c>
      <c r="C27" s="23"/>
    </row>
    <row r="28" spans="2:3" x14ac:dyDescent="0.45">
      <c r="B28" s="2" t="str">
        <f>_xlfn.IFNA(VLOOKUP(A28,'[1]신고 스프레드 확인'!$A$2:$B$1000,2,FALSE),"-")</f>
        <v>-</v>
      </c>
      <c r="C28" s="23"/>
    </row>
    <row r="29" spans="2:3" x14ac:dyDescent="0.45">
      <c r="B29" s="2" t="str">
        <f>_xlfn.IFNA(VLOOKUP(A29,'[1]신고 스프레드 확인'!$A$2:$B$1000,2,FALSE),"-")</f>
        <v>-</v>
      </c>
      <c r="C29" s="23"/>
    </row>
    <row r="30" spans="2:3" x14ac:dyDescent="0.45">
      <c r="B30" s="2" t="str">
        <f>_xlfn.IFNA(VLOOKUP(A30,'[1]신고 스프레드 확인'!$A$2:$B$1000,2,FALSE),"-")</f>
        <v>-</v>
      </c>
      <c r="C30" s="23"/>
    </row>
    <row r="31" spans="2:3" x14ac:dyDescent="0.45">
      <c r="B31" s="2" t="str">
        <f>_xlfn.IFNA(VLOOKUP(A31,'[1]신고 스프레드 확인'!$A$2:$B$1000,2,FALSE),"-")</f>
        <v>-</v>
      </c>
      <c r="C31" s="23"/>
    </row>
    <row r="32" spans="2:3" x14ac:dyDescent="0.45">
      <c r="B32" s="2" t="str">
        <f>_xlfn.IFNA(VLOOKUP(A32,'[1]신고 스프레드 확인'!$A$2:$B$1000,2,FALSE),"-")</f>
        <v>-</v>
      </c>
      <c r="C32" s="23"/>
    </row>
    <row r="33" spans="2:3" x14ac:dyDescent="0.45">
      <c r="B33" s="2" t="str">
        <f>_xlfn.IFNA(VLOOKUP(A33,'[1]신고 스프레드 확인'!$A$2:$B$1000,2,FALSE),"-")</f>
        <v>-</v>
      </c>
      <c r="C33" s="23"/>
    </row>
    <row r="34" spans="2:3" x14ac:dyDescent="0.45">
      <c r="B34" s="2" t="str">
        <f>_xlfn.IFNA(VLOOKUP(A34,'[1]신고 스프레드 확인'!$A$2:$B$1000,2,FALSE),"-")</f>
        <v>-</v>
      </c>
      <c r="C34" s="23"/>
    </row>
    <row r="35" spans="2:3" x14ac:dyDescent="0.45">
      <c r="B35" s="2" t="str">
        <f>_xlfn.IFNA(VLOOKUP(A35,'[1]신고 스프레드 확인'!$A$2:$B$1000,2,FALSE),"-")</f>
        <v>-</v>
      </c>
      <c r="C35" s="23"/>
    </row>
    <row r="36" spans="2:3" x14ac:dyDescent="0.45">
      <c r="B36" s="2" t="str">
        <f>_xlfn.IFNA(VLOOKUP(A36,'[1]신고 스프레드 확인'!$A$2:$B$1000,2,FALSE),"-")</f>
        <v>-</v>
      </c>
      <c r="C36" s="23"/>
    </row>
    <row r="37" spans="2:3" x14ac:dyDescent="0.45">
      <c r="B37" s="2" t="str">
        <f>_xlfn.IFNA(VLOOKUP(A37,'[1]신고 스프레드 확인'!$A$2:$B$1000,2,FALSE),"-")</f>
        <v>-</v>
      </c>
      <c r="C37" s="23"/>
    </row>
    <row r="38" spans="2:3" x14ac:dyDescent="0.45">
      <c r="B38" s="2" t="str">
        <f>_xlfn.IFNA(VLOOKUP(A38,'[1]신고 스프레드 확인'!$A$2:$B$1000,2,FALSE),"-")</f>
        <v>-</v>
      </c>
      <c r="C38" s="23"/>
    </row>
    <row r="39" spans="2:3" x14ac:dyDescent="0.45">
      <c r="B39" s="2" t="str">
        <f>_xlfn.IFNA(VLOOKUP(A39,'[1]신고 스프레드 확인'!$A$2:$B$1000,2,FALSE),"-")</f>
        <v>-</v>
      </c>
      <c r="C39" s="23"/>
    </row>
    <row r="40" spans="2:3" x14ac:dyDescent="0.45">
      <c r="B40" s="2" t="str">
        <f>_xlfn.IFNA(VLOOKUP(A40,'[1]신고 스프레드 확인'!$A$2:$B$1000,2,FALSE),"-")</f>
        <v>-</v>
      </c>
      <c r="C40" s="23"/>
    </row>
    <row r="41" spans="2:3" x14ac:dyDescent="0.45">
      <c r="B41" s="2" t="str">
        <f>_xlfn.IFNA(VLOOKUP(A41,'[1]신고 스프레드 확인'!$A$2:$B$1000,2,FALSE),"-")</f>
        <v>-</v>
      </c>
      <c r="C41" s="23"/>
    </row>
    <row r="42" spans="2:3" x14ac:dyDescent="0.45">
      <c r="B42" s="2" t="str">
        <f>_xlfn.IFNA(VLOOKUP(A42,'[1]신고 스프레드 확인'!$A$2:$B$1000,2,FALSE),"-")</f>
        <v>-</v>
      </c>
      <c r="C42" s="23"/>
    </row>
    <row r="43" spans="2:3" x14ac:dyDescent="0.45">
      <c r="B43" s="2" t="str">
        <f>_xlfn.IFNA(VLOOKUP(A43,'[1]신고 스프레드 확인'!$A$2:$B$1000,2,FALSE),"-")</f>
        <v>-</v>
      </c>
      <c r="C43" s="23"/>
    </row>
    <row r="44" spans="2:3" x14ac:dyDescent="0.45">
      <c r="B44" s="2" t="str">
        <f>_xlfn.IFNA(VLOOKUP(A44,'[1]신고 스프레드 확인'!$A$2:$B$1000,2,FALSE),"-")</f>
        <v>-</v>
      </c>
      <c r="C44" s="23"/>
    </row>
    <row r="45" spans="2:3" x14ac:dyDescent="0.45">
      <c r="B45" s="2" t="str">
        <f>_xlfn.IFNA(VLOOKUP(A45,'[1]신고 스프레드 확인'!$A$2:$B$1000,2,FALSE),"-")</f>
        <v>-</v>
      </c>
      <c r="C45" s="23"/>
    </row>
    <row r="46" spans="2:3" x14ac:dyDescent="0.45">
      <c r="B46" s="2" t="str">
        <f>_xlfn.IFNA(VLOOKUP(A46,'[1]신고 스프레드 확인'!$A$2:$B$1000,2,FALSE),"-")</f>
        <v>-</v>
      </c>
      <c r="C46" s="23"/>
    </row>
    <row r="47" spans="2:3" x14ac:dyDescent="0.45">
      <c r="B47" s="2" t="str">
        <f>_xlfn.IFNA(VLOOKUP(A47,'[1]신고 스프레드 확인'!$A$2:$B$1000,2,FALSE),"-")</f>
        <v>-</v>
      </c>
      <c r="C47" s="23"/>
    </row>
    <row r="48" spans="2:3" x14ac:dyDescent="0.45">
      <c r="B48" s="2" t="str">
        <f>_xlfn.IFNA(VLOOKUP(A48,'[1]신고 스프레드 확인'!$A$2:$B$1000,2,FALSE),"-")</f>
        <v>-</v>
      </c>
      <c r="C48" s="23"/>
    </row>
    <row r="49" spans="2:3" x14ac:dyDescent="0.45">
      <c r="B49" s="2" t="str">
        <f>_xlfn.IFNA(VLOOKUP(A49,'[1]신고 스프레드 확인'!$A$2:$B$1000,2,FALSE),"-")</f>
        <v>-</v>
      </c>
      <c r="C49" s="23"/>
    </row>
    <row r="50" spans="2:3" x14ac:dyDescent="0.45">
      <c r="B50" s="2" t="str">
        <f>_xlfn.IFNA(VLOOKUP(A50,'[1]신고 스프레드 확인'!$A$2:$B$1000,2,FALSE),"-")</f>
        <v>-</v>
      </c>
      <c r="C50" s="23"/>
    </row>
    <row r="51" spans="2:3" x14ac:dyDescent="0.45">
      <c r="B51" s="2" t="str">
        <f>_xlfn.IFNA(VLOOKUP(A51,'[1]신고 스프레드 확인'!$A$2:$B$1000,2,FALSE),"-")</f>
        <v>-</v>
      </c>
      <c r="C51" s="23"/>
    </row>
    <row r="52" spans="2:3" x14ac:dyDescent="0.45">
      <c r="B52" s="2" t="str">
        <f>_xlfn.IFNA(VLOOKUP(A52,'[1]신고 스프레드 확인'!$A$2:$B$1000,2,FALSE),"-")</f>
        <v>-</v>
      </c>
      <c r="C52" s="23"/>
    </row>
    <row r="53" spans="2:3" x14ac:dyDescent="0.45">
      <c r="B53" s="2" t="str">
        <f>_xlfn.IFNA(VLOOKUP(A53,'[1]신고 스프레드 확인'!$A$2:$B$1000,2,FALSE),"-")</f>
        <v>-</v>
      </c>
      <c r="C53" s="23"/>
    </row>
    <row r="54" spans="2:3" x14ac:dyDescent="0.45">
      <c r="B54" s="2" t="str">
        <f>_xlfn.IFNA(VLOOKUP(A54,'[1]신고 스프레드 확인'!$A$2:$B$1000,2,FALSE),"-")</f>
        <v>-</v>
      </c>
      <c r="C54" s="23"/>
    </row>
    <row r="55" spans="2:3" x14ac:dyDescent="0.45">
      <c r="B55" s="2" t="str">
        <f>_xlfn.IFNA(VLOOKUP(A55,'[1]신고 스프레드 확인'!$A$2:$B$1000,2,FALSE),"-")</f>
        <v>-</v>
      </c>
      <c r="C55" s="23"/>
    </row>
    <row r="56" spans="2:3" x14ac:dyDescent="0.45">
      <c r="B56" s="2" t="str">
        <f>_xlfn.IFNA(VLOOKUP(A56,'[1]신고 스프레드 확인'!$A$2:$B$1000,2,FALSE),"-")</f>
        <v>-</v>
      </c>
      <c r="C56" s="23"/>
    </row>
    <row r="57" spans="2:3" x14ac:dyDescent="0.45">
      <c r="B57" s="2" t="str">
        <f>_xlfn.IFNA(VLOOKUP(A57,'[1]신고 스프레드 확인'!$A$2:$B$1000,2,FALSE),"-")</f>
        <v>-</v>
      </c>
      <c r="C57" s="23"/>
    </row>
    <row r="58" spans="2:3" x14ac:dyDescent="0.45">
      <c r="B58" s="2" t="str">
        <f>_xlfn.IFNA(VLOOKUP(A58,'[1]신고 스프레드 확인'!$A$2:$B$1000,2,FALSE),"-")</f>
        <v>-</v>
      </c>
      <c r="C58" s="23"/>
    </row>
    <row r="59" spans="2:3" x14ac:dyDescent="0.45">
      <c r="B59" s="2" t="str">
        <f>_xlfn.IFNA(VLOOKUP(A59,'[1]신고 스프레드 확인'!$A$2:$B$1000,2,FALSE),"-")</f>
        <v>-</v>
      </c>
      <c r="C59" s="23"/>
    </row>
    <row r="60" spans="2:3" x14ac:dyDescent="0.45">
      <c r="B60" s="2" t="str">
        <f>_xlfn.IFNA(VLOOKUP(A60,'[1]신고 스프레드 확인'!$A$2:$B$1000,2,FALSE),"-")</f>
        <v>-</v>
      </c>
      <c r="C60" s="23"/>
    </row>
    <row r="61" spans="2:3" x14ac:dyDescent="0.45">
      <c r="B61" s="2" t="str">
        <f>_xlfn.IFNA(VLOOKUP(A61,'[1]신고 스프레드 확인'!$A$2:$B$1000,2,FALSE),"-")</f>
        <v>-</v>
      </c>
      <c r="C61" s="23"/>
    </row>
    <row r="62" spans="2:3" x14ac:dyDescent="0.45">
      <c r="B62" s="2" t="str">
        <f>_xlfn.IFNA(VLOOKUP(A62,'[1]신고 스프레드 확인'!$A$2:$B$1000,2,FALSE),"-")</f>
        <v>-</v>
      </c>
      <c r="C62" s="23"/>
    </row>
    <row r="63" spans="2:3" x14ac:dyDescent="0.45">
      <c r="B63" s="2" t="str">
        <f>_xlfn.IFNA(VLOOKUP(A63,'[1]신고 스프레드 확인'!$A$2:$B$1000,2,FALSE),"-")</f>
        <v>-</v>
      </c>
      <c r="C63" s="23"/>
    </row>
    <row r="64" spans="2:3" x14ac:dyDescent="0.45">
      <c r="B64" s="2" t="str">
        <f>_xlfn.IFNA(VLOOKUP(A64,'[1]신고 스프레드 확인'!$A$2:$B$1000,2,FALSE),"-")</f>
        <v>-</v>
      </c>
      <c r="C64" s="23"/>
    </row>
    <row r="65" spans="2:3" x14ac:dyDescent="0.45">
      <c r="B65" s="2" t="str">
        <f>_xlfn.IFNA(VLOOKUP(A65,'[1]신고 스프레드 확인'!$A$2:$B$1000,2,FALSE),"-")</f>
        <v>-</v>
      </c>
      <c r="C65" s="23"/>
    </row>
    <row r="66" spans="2:3" x14ac:dyDescent="0.45">
      <c r="B66" s="2" t="str">
        <f>_xlfn.IFNA(VLOOKUP(A66,'[1]신고 스프레드 확인'!$A$2:$B$1000,2,FALSE),"-")</f>
        <v>-</v>
      </c>
      <c r="C66" s="23"/>
    </row>
    <row r="67" spans="2:3" x14ac:dyDescent="0.45">
      <c r="B67" s="2" t="str">
        <f>_xlfn.IFNA(VLOOKUP(A67,'[1]신고 스프레드 확인'!$A$2:$B$1000,2,FALSE),"-")</f>
        <v>-</v>
      </c>
      <c r="C67" s="23"/>
    </row>
    <row r="68" spans="2:3" x14ac:dyDescent="0.45">
      <c r="B68" s="2" t="str">
        <f>_xlfn.IFNA(VLOOKUP(A68,'[1]신고 스프레드 확인'!$A$2:$B$1000,2,FALSE),"-")</f>
        <v>-</v>
      </c>
      <c r="C68" s="23"/>
    </row>
    <row r="69" spans="2:3" x14ac:dyDescent="0.45">
      <c r="B69" s="2" t="str">
        <f>_xlfn.IFNA(VLOOKUP(A69,'[1]신고 스프레드 확인'!$A$2:$B$1000,2,FALSE),"-")</f>
        <v>-</v>
      </c>
      <c r="C69" s="23"/>
    </row>
    <row r="70" spans="2:3" x14ac:dyDescent="0.45">
      <c r="B70" s="2" t="str">
        <f>_xlfn.IFNA(VLOOKUP(A70,'[1]신고 스프레드 확인'!$A$2:$B$1000,2,FALSE),"-")</f>
        <v>-</v>
      </c>
      <c r="C70" s="23"/>
    </row>
    <row r="71" spans="2:3" x14ac:dyDescent="0.45">
      <c r="B71" s="2" t="str">
        <f>_xlfn.IFNA(VLOOKUP(A71,'[1]신고 스프레드 확인'!$A$2:$B$1000,2,FALSE),"-")</f>
        <v>-</v>
      </c>
      <c r="C71" s="23"/>
    </row>
    <row r="72" spans="2:3" x14ac:dyDescent="0.45">
      <c r="B72" s="2" t="str">
        <f>_xlfn.IFNA(VLOOKUP(A72,'[1]신고 스프레드 확인'!$A$2:$B$1000,2,FALSE),"-")</f>
        <v>-</v>
      </c>
      <c r="C72" s="23"/>
    </row>
    <row r="73" spans="2:3" x14ac:dyDescent="0.45">
      <c r="B73" s="2" t="str">
        <f>_xlfn.IFNA(VLOOKUP(A73,'[1]신고 스프레드 확인'!$A$2:$B$1000,2,FALSE),"-")</f>
        <v>-</v>
      </c>
      <c r="C73" s="23"/>
    </row>
    <row r="74" spans="2:3" x14ac:dyDescent="0.45">
      <c r="B74" s="2" t="str">
        <f>_xlfn.IFNA(VLOOKUP(A74,'[1]신고 스프레드 확인'!$A$2:$B$1000,2,FALSE),"-")</f>
        <v>-</v>
      </c>
      <c r="C74" s="23"/>
    </row>
    <row r="75" spans="2:3" x14ac:dyDescent="0.45">
      <c r="B75" s="2" t="str">
        <f>_xlfn.IFNA(VLOOKUP(A75,'[1]신고 스프레드 확인'!$A$2:$B$1000,2,FALSE),"-")</f>
        <v>-</v>
      </c>
      <c r="C75" s="23"/>
    </row>
    <row r="76" spans="2:3" x14ac:dyDescent="0.45">
      <c r="B76" s="2" t="str">
        <f>_xlfn.IFNA(VLOOKUP(A76,'[1]신고 스프레드 확인'!$A$2:$B$1000,2,FALSE),"-")</f>
        <v>-</v>
      </c>
      <c r="C76" s="23"/>
    </row>
    <row r="77" spans="2:3" x14ac:dyDescent="0.45">
      <c r="B77" s="2" t="str">
        <f>_xlfn.IFNA(VLOOKUP(A77,'[1]신고 스프레드 확인'!$A$2:$B$1000,2,FALSE),"-")</f>
        <v>-</v>
      </c>
      <c r="C77" s="23"/>
    </row>
    <row r="78" spans="2:3" x14ac:dyDescent="0.45">
      <c r="B78" s="2" t="str">
        <f>_xlfn.IFNA(VLOOKUP(A78,'[1]신고 스프레드 확인'!$A$2:$B$1000,2,FALSE),"-")</f>
        <v>-</v>
      </c>
      <c r="C78" s="23"/>
    </row>
    <row r="79" spans="2:3" x14ac:dyDescent="0.45">
      <c r="B79" s="2" t="str">
        <f>_xlfn.IFNA(VLOOKUP(A79,'[1]신고 스프레드 확인'!$A$2:$B$1000,2,FALSE),"-")</f>
        <v>-</v>
      </c>
      <c r="C79" s="23"/>
    </row>
    <row r="80" spans="2:3" x14ac:dyDescent="0.45">
      <c r="B80" s="2" t="str">
        <f>_xlfn.IFNA(VLOOKUP(A80,'[1]신고 스프레드 확인'!$A$2:$B$1000,2,FALSE),"-")</f>
        <v>-</v>
      </c>
      <c r="C80" s="23"/>
    </row>
    <row r="81" spans="2:3" x14ac:dyDescent="0.45">
      <c r="B81" s="2" t="str">
        <f>_xlfn.IFNA(VLOOKUP(A81,'[1]신고 스프레드 확인'!$A$2:$B$1000,2,FALSE),"-")</f>
        <v>-</v>
      </c>
      <c r="C81" s="23"/>
    </row>
    <row r="82" spans="2:3" x14ac:dyDescent="0.45">
      <c r="B82" s="2" t="str">
        <f>_xlfn.IFNA(VLOOKUP(A82,'[1]신고 스프레드 확인'!$A$2:$B$1000,2,FALSE),"-")</f>
        <v>-</v>
      </c>
      <c r="C82" s="23"/>
    </row>
    <row r="83" spans="2:3" x14ac:dyDescent="0.45">
      <c r="B83" s="2" t="str">
        <f>_xlfn.IFNA(VLOOKUP(A83,'[1]신고 스프레드 확인'!$A$2:$B$1000,2,FALSE),"-")</f>
        <v>-</v>
      </c>
      <c r="C83" s="23"/>
    </row>
    <row r="84" spans="2:3" x14ac:dyDescent="0.45">
      <c r="B84" s="2" t="str">
        <f>_xlfn.IFNA(VLOOKUP(A84,'[1]신고 스프레드 확인'!$A$2:$B$1000,2,FALSE),"-")</f>
        <v>-</v>
      </c>
      <c r="C84" s="23"/>
    </row>
    <row r="85" spans="2:3" x14ac:dyDescent="0.45">
      <c r="B85" s="2" t="str">
        <f>_xlfn.IFNA(VLOOKUP(A85,'[1]신고 스프레드 확인'!$A$2:$B$1000,2,FALSE),"-")</f>
        <v>-</v>
      </c>
      <c r="C85" s="23"/>
    </row>
    <row r="86" spans="2:3" x14ac:dyDescent="0.45">
      <c r="B86" s="2" t="str">
        <f>_xlfn.IFNA(VLOOKUP(A86,'[1]신고 스프레드 확인'!$A$2:$B$1000,2,FALSE),"-")</f>
        <v>-</v>
      </c>
      <c r="C86" s="23"/>
    </row>
    <row r="87" spans="2:3" x14ac:dyDescent="0.45">
      <c r="B87" s="2" t="str">
        <f>_xlfn.IFNA(VLOOKUP(A87,'[1]신고 스프레드 확인'!$A$2:$B$1000,2,FALSE),"-")</f>
        <v>-</v>
      </c>
      <c r="C87" s="23"/>
    </row>
    <row r="88" spans="2:3" x14ac:dyDescent="0.45">
      <c r="B88" s="2" t="str">
        <f>_xlfn.IFNA(VLOOKUP(A88,'[1]신고 스프레드 확인'!$A$2:$B$1000,2,FALSE),"-")</f>
        <v>-</v>
      </c>
      <c r="C88" s="23"/>
    </row>
    <row r="89" spans="2:3" x14ac:dyDescent="0.45">
      <c r="B89" s="2" t="str">
        <f>_xlfn.IFNA(VLOOKUP(A89,'[1]신고 스프레드 확인'!$A$2:$B$1000,2,FALSE),"-")</f>
        <v>-</v>
      </c>
      <c r="C89" s="23"/>
    </row>
    <row r="90" spans="2:3" x14ac:dyDescent="0.45">
      <c r="B90" s="2" t="str">
        <f>_xlfn.IFNA(VLOOKUP(A90,'[1]신고 스프레드 확인'!$A$2:$B$1000,2,FALSE),"-")</f>
        <v>-</v>
      </c>
      <c r="C90" s="23"/>
    </row>
    <row r="91" spans="2:3" x14ac:dyDescent="0.45">
      <c r="B91" s="2" t="str">
        <f>_xlfn.IFNA(VLOOKUP(A91,'[1]신고 스프레드 확인'!$A$2:$B$1000,2,FALSE),"-")</f>
        <v>-</v>
      </c>
      <c r="C91" s="23"/>
    </row>
    <row r="92" spans="2:3" x14ac:dyDescent="0.45">
      <c r="B92" s="2" t="str">
        <f>_xlfn.IFNA(VLOOKUP(A92,'[1]신고 스프레드 확인'!$A$2:$B$1000,2,FALSE),"-")</f>
        <v>-</v>
      </c>
      <c r="C92" s="23"/>
    </row>
    <row r="93" spans="2:3" x14ac:dyDescent="0.45">
      <c r="B93" s="2" t="str">
        <f>_xlfn.IFNA(VLOOKUP(A93,'[1]신고 스프레드 확인'!$A$2:$B$1000,2,FALSE),"-")</f>
        <v>-</v>
      </c>
      <c r="C93" s="23"/>
    </row>
    <row r="94" spans="2:3" x14ac:dyDescent="0.45">
      <c r="B94" s="2" t="str">
        <f>_xlfn.IFNA(VLOOKUP(A94,'[1]신고 스프레드 확인'!$A$2:$B$1000,2,FALSE),"-")</f>
        <v>-</v>
      </c>
      <c r="C94" s="23"/>
    </row>
    <row r="95" spans="2:3" x14ac:dyDescent="0.45">
      <c r="B95" s="2" t="str">
        <f>_xlfn.IFNA(VLOOKUP(A95,'[1]신고 스프레드 확인'!$A$2:$B$1000,2,FALSE),"-")</f>
        <v>-</v>
      </c>
      <c r="C95" s="23"/>
    </row>
    <row r="96" spans="2:3" x14ac:dyDescent="0.45">
      <c r="B96" s="2" t="str">
        <f>_xlfn.IFNA(VLOOKUP(A96,'[1]신고 스프레드 확인'!$A$2:$B$1000,2,FALSE),"-")</f>
        <v>-</v>
      </c>
      <c r="C96" s="23"/>
    </row>
    <row r="97" spans="2:3" x14ac:dyDescent="0.45">
      <c r="B97" s="2" t="str">
        <f>_xlfn.IFNA(VLOOKUP(A97,'[1]신고 스프레드 확인'!$A$2:$B$1000,2,FALSE),"-")</f>
        <v>-</v>
      </c>
      <c r="C97" s="23"/>
    </row>
    <row r="98" spans="2:3" x14ac:dyDescent="0.45">
      <c r="B98" s="2" t="str">
        <f>_xlfn.IFNA(VLOOKUP(A98,'[1]신고 스프레드 확인'!$A$2:$B$1000,2,FALSE),"-")</f>
        <v>-</v>
      </c>
      <c r="C98" s="23"/>
    </row>
    <row r="99" spans="2:3" x14ac:dyDescent="0.45">
      <c r="B99" s="2" t="str">
        <f>_xlfn.IFNA(VLOOKUP(A99,'[1]신고 스프레드 확인'!$A$2:$B$1000,2,FALSE),"-")</f>
        <v>-</v>
      </c>
      <c r="C99" s="23"/>
    </row>
    <row r="100" spans="2:3" x14ac:dyDescent="0.45">
      <c r="B100" s="2" t="str">
        <f>_xlfn.IFNA(VLOOKUP(A100,'[1]신고 스프레드 확인'!$A$2:$B$1000,2,FALSE),"-")</f>
        <v>-</v>
      </c>
      <c r="C100" s="23"/>
    </row>
    <row r="101" spans="2:3" x14ac:dyDescent="0.45">
      <c r="B101" s="2" t="str">
        <f>_xlfn.IFNA(VLOOKUP(A101,'[1]신고 스프레드 확인'!$A$2:$B$1000,2,FALSE),"-")</f>
        <v>-</v>
      </c>
      <c r="C101" s="23"/>
    </row>
    <row r="102" spans="2:3" x14ac:dyDescent="0.45">
      <c r="B102" s="2" t="str">
        <f>_xlfn.IFNA(VLOOKUP(A102,'[1]신고 스프레드 확인'!$A$2:$B$1000,2,FALSE),"-")</f>
        <v>-</v>
      </c>
      <c r="C102" s="23"/>
    </row>
    <row r="103" spans="2:3" x14ac:dyDescent="0.45">
      <c r="B103" s="2" t="str">
        <f>_xlfn.IFNA(VLOOKUP(A103,'[1]신고 스프레드 확인'!$A$2:$B$1000,2,FALSE),"-")</f>
        <v>-</v>
      </c>
      <c r="C103" s="23"/>
    </row>
    <row r="104" spans="2:3" x14ac:dyDescent="0.45">
      <c r="B104" s="2" t="str">
        <f>_xlfn.IFNA(VLOOKUP(A104,'[1]신고 스프레드 확인'!$A$2:$B$1000,2,FALSE),"-")</f>
        <v>-</v>
      </c>
      <c r="C104" s="23"/>
    </row>
    <row r="105" spans="2:3" x14ac:dyDescent="0.45">
      <c r="B105" s="2" t="str">
        <f>_xlfn.IFNA(VLOOKUP(A105,'[1]신고 스프레드 확인'!$A$2:$B$1000,2,FALSE),"-")</f>
        <v>-</v>
      </c>
      <c r="C105" s="23"/>
    </row>
    <row r="106" spans="2:3" x14ac:dyDescent="0.45">
      <c r="B106" s="2" t="str">
        <f>_xlfn.IFNA(VLOOKUP(A106,'[1]신고 스프레드 확인'!$A$2:$B$1000,2,FALSE),"-")</f>
        <v>-</v>
      </c>
      <c r="C106" s="23"/>
    </row>
    <row r="107" spans="2:3" x14ac:dyDescent="0.45">
      <c r="B107" s="2" t="str">
        <f>_xlfn.IFNA(VLOOKUP(A107,'[1]신고 스프레드 확인'!$A$2:$B$1000,2,FALSE),"-")</f>
        <v>-</v>
      </c>
      <c r="C107" s="23"/>
    </row>
    <row r="108" spans="2:3" x14ac:dyDescent="0.45">
      <c r="B108" s="2" t="str">
        <f>_xlfn.IFNA(VLOOKUP(A108,'[1]신고 스프레드 확인'!$A$2:$B$1000,2,FALSE),"-")</f>
        <v>-</v>
      </c>
      <c r="C108" s="23"/>
    </row>
    <row r="109" spans="2:3" x14ac:dyDescent="0.45">
      <c r="B109" s="2" t="str">
        <f>_xlfn.IFNA(VLOOKUP(A109,'[1]신고 스프레드 확인'!$A$2:$B$1000,2,FALSE),"-")</f>
        <v>-</v>
      </c>
      <c r="C109" s="23"/>
    </row>
    <row r="110" spans="2:3" x14ac:dyDescent="0.45">
      <c r="B110" s="2" t="str">
        <f>_xlfn.IFNA(VLOOKUP(A110,'[1]신고 스프레드 확인'!$A$2:$B$1000,2,FALSE),"-")</f>
        <v>-</v>
      </c>
      <c r="C110" s="23"/>
    </row>
    <row r="111" spans="2:3" x14ac:dyDescent="0.45">
      <c r="B111" s="2" t="str">
        <f>_xlfn.IFNA(VLOOKUP(A111,'[1]신고 스프레드 확인'!$A$2:$B$1000,2,FALSE),"-")</f>
        <v>-</v>
      </c>
      <c r="C111" s="23"/>
    </row>
    <row r="112" spans="2:3" x14ac:dyDescent="0.45">
      <c r="B112" s="2" t="str">
        <f>_xlfn.IFNA(VLOOKUP(A112,'[1]신고 스프레드 확인'!$A$2:$B$1000,2,FALSE),"-")</f>
        <v>-</v>
      </c>
      <c r="C112" s="23"/>
    </row>
    <row r="113" spans="2:3" x14ac:dyDescent="0.45">
      <c r="B113" s="2" t="str">
        <f>_xlfn.IFNA(VLOOKUP(A113,'[1]신고 스프레드 확인'!$A$2:$B$1000,2,FALSE),"-")</f>
        <v>-</v>
      </c>
      <c r="C113" s="23"/>
    </row>
    <row r="114" spans="2:3" x14ac:dyDescent="0.45">
      <c r="B114" s="2" t="str">
        <f>_xlfn.IFNA(VLOOKUP(A114,'[1]신고 스프레드 확인'!$A$2:$B$1000,2,FALSE),"-")</f>
        <v>-</v>
      </c>
      <c r="C114" s="23"/>
    </row>
    <row r="115" spans="2:3" x14ac:dyDescent="0.45">
      <c r="B115" s="2" t="str">
        <f>_xlfn.IFNA(VLOOKUP(A115,'[1]신고 스프레드 확인'!$A$2:$B$1000,2,FALSE),"-")</f>
        <v>-</v>
      </c>
      <c r="C115" s="23"/>
    </row>
    <row r="116" spans="2:3" x14ac:dyDescent="0.45">
      <c r="B116" s="2" t="str">
        <f>_xlfn.IFNA(VLOOKUP(A116,'[1]신고 스프레드 확인'!$A$2:$B$1000,2,FALSE),"-")</f>
        <v>-</v>
      </c>
      <c r="C116" s="23"/>
    </row>
    <row r="117" spans="2:3" x14ac:dyDescent="0.45">
      <c r="B117" s="2" t="str">
        <f>_xlfn.IFNA(VLOOKUP(A117,'[1]신고 스프레드 확인'!$A$2:$B$1000,2,FALSE),"-")</f>
        <v>-</v>
      </c>
      <c r="C117" s="23"/>
    </row>
    <row r="118" spans="2:3" x14ac:dyDescent="0.45">
      <c r="B118" s="2" t="str">
        <f>_xlfn.IFNA(VLOOKUP(A118,'[1]신고 스프레드 확인'!$A$2:$B$1000,2,FALSE),"-")</f>
        <v>-</v>
      </c>
      <c r="C118" s="23"/>
    </row>
    <row r="119" spans="2:3" x14ac:dyDescent="0.45">
      <c r="B119" s="2" t="str">
        <f>_xlfn.IFNA(VLOOKUP(A119,'[1]신고 스프레드 확인'!$A$2:$B$1000,2,FALSE),"-")</f>
        <v>-</v>
      </c>
      <c r="C119" s="23"/>
    </row>
    <row r="120" spans="2:3" x14ac:dyDescent="0.45">
      <c r="B120" s="2" t="str">
        <f>_xlfn.IFNA(VLOOKUP(A120,'[1]신고 스프레드 확인'!$A$2:$B$1000,2,FALSE),"-")</f>
        <v>-</v>
      </c>
      <c r="C120" s="23"/>
    </row>
    <row r="121" spans="2:3" x14ac:dyDescent="0.45">
      <c r="B121" s="2" t="str">
        <f>_xlfn.IFNA(VLOOKUP(A121,'[1]신고 스프레드 확인'!$A$2:$B$1000,2,FALSE),"-")</f>
        <v>-</v>
      </c>
      <c r="C121" s="23"/>
    </row>
    <row r="122" spans="2:3" x14ac:dyDescent="0.45">
      <c r="B122" s="2" t="str">
        <f>_xlfn.IFNA(VLOOKUP(A122,'[1]신고 스프레드 확인'!$A$2:$B$1000,2,FALSE),"-")</f>
        <v>-</v>
      </c>
      <c r="C122" s="23"/>
    </row>
    <row r="123" spans="2:3" x14ac:dyDescent="0.45">
      <c r="B123" s="2" t="str">
        <f>_xlfn.IFNA(VLOOKUP(A123,'[1]신고 스프레드 확인'!$A$2:$B$1000,2,FALSE),"-")</f>
        <v>-</v>
      </c>
      <c r="C123" s="23"/>
    </row>
    <row r="124" spans="2:3" x14ac:dyDescent="0.45">
      <c r="B124" s="2" t="str">
        <f>_xlfn.IFNA(VLOOKUP(A124,'[1]신고 스프레드 확인'!$A$2:$B$1000,2,FALSE),"-")</f>
        <v>-</v>
      </c>
      <c r="C124" s="23"/>
    </row>
    <row r="125" spans="2:3" x14ac:dyDescent="0.45">
      <c r="B125" s="2" t="str">
        <f>_xlfn.IFNA(VLOOKUP(A125,'[1]신고 스프레드 확인'!$A$2:$B$1000,2,FALSE),"-")</f>
        <v>-</v>
      </c>
      <c r="C125" s="23"/>
    </row>
    <row r="126" spans="2:3" x14ac:dyDescent="0.45">
      <c r="B126" s="2" t="str">
        <f>_xlfn.IFNA(VLOOKUP(A126,'[1]신고 스프레드 확인'!$A$2:$B$1000,2,FALSE),"-")</f>
        <v>-</v>
      </c>
      <c r="C126" s="23"/>
    </row>
    <row r="127" spans="2:3" x14ac:dyDescent="0.45">
      <c r="B127" s="2" t="str">
        <f>_xlfn.IFNA(VLOOKUP(A127,'[1]신고 스프레드 확인'!$A$2:$B$1000,2,FALSE),"-")</f>
        <v>-</v>
      </c>
      <c r="C127" s="23"/>
    </row>
    <row r="128" spans="2:3" x14ac:dyDescent="0.45">
      <c r="B128" s="2" t="str">
        <f>_xlfn.IFNA(VLOOKUP(A128,'[1]신고 스프레드 확인'!$A$2:$B$1000,2,FALSE),"-")</f>
        <v>-</v>
      </c>
      <c r="C128" s="23"/>
    </row>
    <row r="129" spans="2:3" x14ac:dyDescent="0.45">
      <c r="B129" s="2" t="str">
        <f>_xlfn.IFNA(VLOOKUP(A129,'[1]신고 스프레드 확인'!$A$2:$B$1000,2,FALSE),"-")</f>
        <v>-</v>
      </c>
      <c r="C129" s="23"/>
    </row>
    <row r="130" spans="2:3" x14ac:dyDescent="0.45">
      <c r="B130" s="2" t="str">
        <f>_xlfn.IFNA(VLOOKUP(A130,'[1]신고 스프레드 확인'!$A$2:$B$1000,2,FALSE),"-")</f>
        <v>-</v>
      </c>
      <c r="C130" s="23"/>
    </row>
    <row r="131" spans="2:3" x14ac:dyDescent="0.45">
      <c r="B131" s="2" t="str">
        <f>_xlfn.IFNA(VLOOKUP(A131,'[1]신고 스프레드 확인'!$A$2:$B$1000,2,FALSE),"-")</f>
        <v>-</v>
      </c>
      <c r="C131" s="23"/>
    </row>
    <row r="132" spans="2:3" x14ac:dyDescent="0.45">
      <c r="B132" s="2" t="str">
        <f>_xlfn.IFNA(VLOOKUP(A132,'[1]신고 스프레드 확인'!$A$2:$B$1000,2,FALSE),"-")</f>
        <v>-</v>
      </c>
      <c r="C132" s="23"/>
    </row>
    <row r="133" spans="2:3" x14ac:dyDescent="0.45">
      <c r="B133" s="2" t="str">
        <f>_xlfn.IFNA(VLOOKUP(A133,'[1]신고 스프레드 확인'!$A$2:$B$1000,2,FALSE),"-")</f>
        <v>-</v>
      </c>
      <c r="C133" s="23"/>
    </row>
    <row r="134" spans="2:3" x14ac:dyDescent="0.45">
      <c r="B134" s="2" t="str">
        <f>_xlfn.IFNA(VLOOKUP(A134,'[1]신고 스프레드 확인'!$A$2:$B$1000,2,FALSE),"-")</f>
        <v>-</v>
      </c>
      <c r="C134" s="23"/>
    </row>
    <row r="135" spans="2:3" x14ac:dyDescent="0.45">
      <c r="B135" s="2" t="str">
        <f>_xlfn.IFNA(VLOOKUP(A135,'[1]신고 스프레드 확인'!$A$2:$B$1000,2,FALSE),"-")</f>
        <v>-</v>
      </c>
      <c r="C135" s="23"/>
    </row>
    <row r="136" spans="2:3" x14ac:dyDescent="0.45">
      <c r="B136" s="2" t="str">
        <f>_xlfn.IFNA(VLOOKUP(A136,'[1]신고 스프레드 확인'!$A$2:$B$1000,2,FALSE),"-")</f>
        <v>-</v>
      </c>
      <c r="C136" s="23"/>
    </row>
    <row r="137" spans="2:3" x14ac:dyDescent="0.45">
      <c r="B137" s="2" t="str">
        <f>_xlfn.IFNA(VLOOKUP(A137,'[1]신고 스프레드 확인'!$A$2:$B$1000,2,FALSE),"-")</f>
        <v>-</v>
      </c>
      <c r="C137" s="23"/>
    </row>
    <row r="138" spans="2:3" x14ac:dyDescent="0.45">
      <c r="B138" s="2" t="str">
        <f>_xlfn.IFNA(VLOOKUP(A138,'[1]신고 스프레드 확인'!$A$2:$B$1000,2,FALSE),"-")</f>
        <v>-</v>
      </c>
      <c r="C138" s="23"/>
    </row>
    <row r="139" spans="2:3" x14ac:dyDescent="0.45">
      <c r="B139" s="2" t="str">
        <f>_xlfn.IFNA(VLOOKUP(A139,'[1]신고 스프레드 확인'!$A$2:$B$1000,2,FALSE),"-")</f>
        <v>-</v>
      </c>
      <c r="C139" s="23"/>
    </row>
    <row r="140" spans="2:3" x14ac:dyDescent="0.45">
      <c r="B140" s="2" t="str">
        <f>_xlfn.IFNA(VLOOKUP(A140,'[1]신고 스프레드 확인'!$A$2:$B$1000,2,FALSE),"-")</f>
        <v>-</v>
      </c>
      <c r="C140" s="23"/>
    </row>
    <row r="141" spans="2:3" x14ac:dyDescent="0.45">
      <c r="B141" s="2" t="str">
        <f>_xlfn.IFNA(VLOOKUP(A141,'[1]신고 스프레드 확인'!$A$2:$B$1000,2,FALSE),"-")</f>
        <v>-</v>
      </c>
      <c r="C141" s="23"/>
    </row>
    <row r="142" spans="2:3" x14ac:dyDescent="0.45">
      <c r="B142" s="2" t="str">
        <f>_xlfn.IFNA(VLOOKUP(A142,'[1]신고 스프레드 확인'!$A$2:$B$1000,2,FALSE),"-")</f>
        <v>-</v>
      </c>
      <c r="C142" s="23"/>
    </row>
    <row r="143" spans="2:3" x14ac:dyDescent="0.45">
      <c r="B143" s="2" t="str">
        <f>_xlfn.IFNA(VLOOKUP(A143,'[1]신고 스프레드 확인'!$A$2:$B$1000,2,FALSE),"-")</f>
        <v>-</v>
      </c>
      <c r="C143" s="23"/>
    </row>
    <row r="144" spans="2:3" x14ac:dyDescent="0.45">
      <c r="B144" s="2" t="str">
        <f>_xlfn.IFNA(VLOOKUP(A144,'[1]신고 스프레드 확인'!$A$2:$B$1000,2,FALSE),"-")</f>
        <v>-</v>
      </c>
      <c r="C144" s="23"/>
    </row>
    <row r="145" spans="2:3" x14ac:dyDescent="0.45">
      <c r="B145" s="2" t="str">
        <f>_xlfn.IFNA(VLOOKUP(A145,'[1]신고 스프레드 확인'!$A$2:$B$1000,2,FALSE),"-")</f>
        <v>-</v>
      </c>
      <c r="C145" s="23"/>
    </row>
    <row r="146" spans="2:3" x14ac:dyDescent="0.45">
      <c r="B146" s="2" t="str">
        <f>_xlfn.IFNA(VLOOKUP(A146,'[1]신고 스프레드 확인'!$A$2:$B$1000,2,FALSE),"-")</f>
        <v>-</v>
      </c>
      <c r="C146" s="23"/>
    </row>
    <row r="147" spans="2:3" x14ac:dyDescent="0.45">
      <c r="B147" s="2" t="str">
        <f>_xlfn.IFNA(VLOOKUP(A147,'[1]신고 스프레드 확인'!$A$2:$B$1000,2,FALSE),"-")</f>
        <v>-</v>
      </c>
      <c r="C147" s="23"/>
    </row>
    <row r="148" spans="2:3" x14ac:dyDescent="0.45">
      <c r="B148" s="2" t="str">
        <f>_xlfn.IFNA(VLOOKUP(A148,'[1]신고 스프레드 확인'!$A$2:$B$1000,2,FALSE),"-")</f>
        <v>-</v>
      </c>
      <c r="C148" s="23"/>
    </row>
    <row r="149" spans="2:3" x14ac:dyDescent="0.45">
      <c r="B149" s="2" t="str">
        <f>_xlfn.IFNA(VLOOKUP(A149,'[1]신고 스프레드 확인'!$A$2:$B$1000,2,FALSE),"-")</f>
        <v>-</v>
      </c>
      <c r="C149" s="23"/>
    </row>
    <row r="150" spans="2:3" x14ac:dyDescent="0.45">
      <c r="B150" s="2" t="str">
        <f>_xlfn.IFNA(VLOOKUP(A150,'[1]신고 스프레드 확인'!$A$2:$B$1000,2,FALSE),"-")</f>
        <v>-</v>
      </c>
      <c r="C150" s="23"/>
    </row>
    <row r="151" spans="2:3" x14ac:dyDescent="0.45">
      <c r="B151" s="2" t="str">
        <f>_xlfn.IFNA(VLOOKUP(A151,'[1]신고 스프레드 확인'!$A$2:$B$1000,2,FALSE),"-")</f>
        <v>-</v>
      </c>
      <c r="C151" s="23"/>
    </row>
    <row r="152" spans="2:3" x14ac:dyDescent="0.45">
      <c r="B152" s="2" t="str">
        <f>_xlfn.IFNA(VLOOKUP(A152,'[1]신고 스프레드 확인'!$A$2:$B$1000,2,FALSE),"-")</f>
        <v>-</v>
      </c>
      <c r="C152" s="23"/>
    </row>
    <row r="153" spans="2:3" x14ac:dyDescent="0.45">
      <c r="B153" s="2" t="str">
        <f>_xlfn.IFNA(VLOOKUP(A153,'[1]신고 스프레드 확인'!$A$2:$B$1000,2,FALSE),"-")</f>
        <v>-</v>
      </c>
      <c r="C153" s="23"/>
    </row>
    <row r="154" spans="2:3" x14ac:dyDescent="0.45">
      <c r="B154" s="2" t="str">
        <f>_xlfn.IFNA(VLOOKUP(A154,'[1]신고 스프레드 확인'!$A$2:$B$1000,2,FALSE),"-")</f>
        <v>-</v>
      </c>
      <c r="C154" s="23"/>
    </row>
    <row r="155" spans="2:3" x14ac:dyDescent="0.45">
      <c r="B155" s="2" t="str">
        <f>_xlfn.IFNA(VLOOKUP(A155,'[1]신고 스프레드 확인'!$A$2:$B$1000,2,FALSE),"-")</f>
        <v>-</v>
      </c>
      <c r="C155" s="23"/>
    </row>
    <row r="156" spans="2:3" x14ac:dyDescent="0.45">
      <c r="B156" s="2" t="str">
        <f>_xlfn.IFNA(VLOOKUP(A156,'[1]신고 스프레드 확인'!$A$2:$B$1000,2,FALSE),"-")</f>
        <v>-</v>
      </c>
      <c r="C156" s="23"/>
    </row>
    <row r="157" spans="2:3" x14ac:dyDescent="0.45">
      <c r="B157" s="2" t="str">
        <f>_xlfn.IFNA(VLOOKUP(A157,'[1]신고 스프레드 확인'!$A$2:$B$1000,2,FALSE),"-")</f>
        <v>-</v>
      </c>
      <c r="C157" s="23"/>
    </row>
    <row r="158" spans="2:3" x14ac:dyDescent="0.45">
      <c r="B158" s="2" t="str">
        <f>_xlfn.IFNA(VLOOKUP(A158,'[1]신고 스프레드 확인'!$A$2:$B$1000,2,FALSE),"-")</f>
        <v>-</v>
      </c>
      <c r="C158" s="23"/>
    </row>
    <row r="159" spans="2:3" x14ac:dyDescent="0.45">
      <c r="B159" s="2" t="str">
        <f>_xlfn.IFNA(VLOOKUP(A159,'[1]신고 스프레드 확인'!$A$2:$B$1000,2,FALSE),"-")</f>
        <v>-</v>
      </c>
      <c r="C159" s="23"/>
    </row>
    <row r="160" spans="2:3" x14ac:dyDescent="0.45">
      <c r="B160" s="2" t="str">
        <f>_xlfn.IFNA(VLOOKUP(A160,'[1]신고 스프레드 확인'!$A$2:$B$1000,2,FALSE),"-")</f>
        <v>-</v>
      </c>
      <c r="C160" s="23"/>
    </row>
    <row r="161" spans="2:3" x14ac:dyDescent="0.45">
      <c r="B161" s="2" t="str">
        <f>_xlfn.IFNA(VLOOKUP(A161,'[1]신고 스프레드 확인'!$A$2:$B$1000,2,FALSE),"-")</f>
        <v>-</v>
      </c>
      <c r="C161" s="23"/>
    </row>
    <row r="162" spans="2:3" x14ac:dyDescent="0.45">
      <c r="B162" s="2" t="str">
        <f>_xlfn.IFNA(VLOOKUP(A162,'[1]신고 스프레드 확인'!$A$2:$B$1000,2,FALSE),"-")</f>
        <v>-</v>
      </c>
      <c r="C162" s="23"/>
    </row>
    <row r="163" spans="2:3" x14ac:dyDescent="0.45">
      <c r="B163" s="2" t="str">
        <f>_xlfn.IFNA(VLOOKUP(A163,'[1]신고 스프레드 확인'!$A$2:$B$1000,2,FALSE),"-")</f>
        <v>-</v>
      </c>
      <c r="C163" s="23"/>
    </row>
    <row r="164" spans="2:3" x14ac:dyDescent="0.45">
      <c r="B164" s="2" t="str">
        <f>_xlfn.IFNA(VLOOKUP(A164,'[1]신고 스프레드 확인'!$A$2:$B$1000,2,FALSE),"-")</f>
        <v>-</v>
      </c>
      <c r="C164" s="23"/>
    </row>
    <row r="165" spans="2:3" x14ac:dyDescent="0.45">
      <c r="B165" s="2" t="str">
        <f>_xlfn.IFNA(VLOOKUP(A165,'[1]신고 스프레드 확인'!$A$2:$B$1000,2,FALSE),"-")</f>
        <v>-</v>
      </c>
      <c r="C165" s="23"/>
    </row>
    <row r="166" spans="2:3" x14ac:dyDescent="0.45">
      <c r="B166" s="2" t="str">
        <f>_xlfn.IFNA(VLOOKUP(A166,'[1]신고 스프레드 확인'!$A$2:$B$1000,2,FALSE),"-")</f>
        <v>-</v>
      </c>
      <c r="C166" s="23"/>
    </row>
    <row r="167" spans="2:3" x14ac:dyDescent="0.45">
      <c r="B167" s="2" t="str">
        <f>_xlfn.IFNA(VLOOKUP(A167,'[1]신고 스프레드 확인'!$A$2:$B$1000,2,FALSE),"-")</f>
        <v>-</v>
      </c>
      <c r="C167" s="23"/>
    </row>
    <row r="168" spans="2:3" x14ac:dyDescent="0.45">
      <c r="B168" s="2" t="str">
        <f>_xlfn.IFNA(VLOOKUP(A168,'[1]신고 스프레드 확인'!$A$2:$B$1000,2,FALSE),"-")</f>
        <v>-</v>
      </c>
      <c r="C168" s="23"/>
    </row>
    <row r="169" spans="2:3" x14ac:dyDescent="0.45">
      <c r="B169" s="2" t="str">
        <f>_xlfn.IFNA(VLOOKUP(A169,'[1]신고 스프레드 확인'!$A$2:$B$1000,2,FALSE),"-")</f>
        <v>-</v>
      </c>
      <c r="C169" s="23"/>
    </row>
    <row r="170" spans="2:3" x14ac:dyDescent="0.45">
      <c r="B170" s="2" t="str">
        <f>_xlfn.IFNA(VLOOKUP(A170,'[1]신고 스프레드 확인'!$A$2:$B$1000,2,FALSE),"-")</f>
        <v>-</v>
      </c>
      <c r="C170" s="23"/>
    </row>
    <row r="171" spans="2:3" x14ac:dyDescent="0.45">
      <c r="B171" s="2" t="str">
        <f>_xlfn.IFNA(VLOOKUP(A171,'[1]신고 스프레드 확인'!$A$2:$B$1000,2,FALSE),"-")</f>
        <v>-</v>
      </c>
      <c r="C171" s="23"/>
    </row>
    <row r="172" spans="2:3" x14ac:dyDescent="0.45">
      <c r="B172" s="2" t="str">
        <f>_xlfn.IFNA(VLOOKUP(A172,'[1]신고 스프레드 확인'!$A$2:$B$1000,2,FALSE),"-")</f>
        <v>-</v>
      </c>
      <c r="C172" s="23"/>
    </row>
    <row r="173" spans="2:3" x14ac:dyDescent="0.45">
      <c r="B173" s="2" t="str">
        <f>_xlfn.IFNA(VLOOKUP(A173,'[1]신고 스프레드 확인'!$A$2:$B$1000,2,FALSE),"-")</f>
        <v>-</v>
      </c>
      <c r="C173" s="23"/>
    </row>
    <row r="174" spans="2:3" x14ac:dyDescent="0.45">
      <c r="B174" s="2" t="str">
        <f>_xlfn.IFNA(VLOOKUP(A174,'[1]신고 스프레드 확인'!$A$2:$B$1000,2,FALSE),"-")</f>
        <v>-</v>
      </c>
      <c r="C174" s="23"/>
    </row>
    <row r="175" spans="2:3" x14ac:dyDescent="0.45">
      <c r="B175" s="2" t="str">
        <f>_xlfn.IFNA(VLOOKUP(A175,'[1]신고 스프레드 확인'!$A$2:$B$1000,2,FALSE),"-")</f>
        <v>-</v>
      </c>
      <c r="C175" s="23"/>
    </row>
    <row r="176" spans="2:3" x14ac:dyDescent="0.45">
      <c r="B176" s="2" t="str">
        <f>_xlfn.IFNA(VLOOKUP(A176,'[1]신고 스프레드 확인'!$A$2:$B$1000,2,FALSE),"-")</f>
        <v>-</v>
      </c>
      <c r="C176" s="23"/>
    </row>
    <row r="177" spans="2:3" x14ac:dyDescent="0.45">
      <c r="B177" s="2" t="str">
        <f>_xlfn.IFNA(VLOOKUP(A177,'[1]신고 스프레드 확인'!$A$2:$B$1000,2,FALSE),"-")</f>
        <v>-</v>
      </c>
      <c r="C177" s="23"/>
    </row>
    <row r="178" spans="2:3" x14ac:dyDescent="0.45">
      <c r="B178" s="2" t="str">
        <f>_xlfn.IFNA(VLOOKUP(A178,'[1]신고 스프레드 확인'!$A$2:$B$1000,2,FALSE),"-")</f>
        <v>-</v>
      </c>
      <c r="C178" s="23"/>
    </row>
    <row r="179" spans="2:3" x14ac:dyDescent="0.45">
      <c r="B179" s="2" t="str">
        <f>_xlfn.IFNA(VLOOKUP(A179,'[1]신고 스프레드 확인'!$A$2:$B$1000,2,FALSE),"-")</f>
        <v>-</v>
      </c>
      <c r="C179" s="23"/>
    </row>
    <row r="180" spans="2:3" x14ac:dyDescent="0.45">
      <c r="B180" s="2" t="str">
        <f>_xlfn.IFNA(VLOOKUP(A180,'[1]신고 스프레드 확인'!$A$2:$B$1000,2,FALSE),"-")</f>
        <v>-</v>
      </c>
      <c r="C180" s="23"/>
    </row>
    <row r="181" spans="2:3" x14ac:dyDescent="0.45">
      <c r="B181" s="2" t="str">
        <f>_xlfn.IFNA(VLOOKUP(A181,'[1]신고 스프레드 확인'!$A$2:$B$1000,2,FALSE),"-")</f>
        <v>-</v>
      </c>
      <c r="C181" s="23"/>
    </row>
    <row r="182" spans="2:3" x14ac:dyDescent="0.45">
      <c r="B182" s="2" t="str">
        <f>_xlfn.IFNA(VLOOKUP(A182,'[1]신고 스프레드 확인'!$A$2:$B$1000,2,FALSE),"-")</f>
        <v>-</v>
      </c>
    </row>
    <row r="183" spans="2:3" x14ac:dyDescent="0.45">
      <c r="B183" s="2" t="str">
        <f>_xlfn.IFNA(VLOOKUP(A183,'[1]신고 스프레드 확인'!$A$2:$B$1000,2,FALSE),"-")</f>
        <v>-</v>
      </c>
    </row>
    <row r="184" spans="2:3" x14ac:dyDescent="0.45">
      <c r="B184" s="2" t="str">
        <f>_xlfn.IFNA(VLOOKUP(A184,'[1]신고 스프레드 확인'!$A$2:$B$1000,2,FALSE),"-")</f>
        <v>-</v>
      </c>
    </row>
    <row r="185" spans="2:3" x14ac:dyDescent="0.45">
      <c r="B185" s="2" t="str">
        <f>_xlfn.IFNA(VLOOKUP(A185,'[1]신고 스프레드 확인'!$A$2:$B$1000,2,FALSE),"-")</f>
        <v>-</v>
      </c>
    </row>
    <row r="186" spans="2:3" x14ac:dyDescent="0.45">
      <c r="B186" s="2" t="str">
        <f>_xlfn.IFNA(VLOOKUP(A186,'[1]신고 스프레드 확인'!$A$2:$B$1000,2,FALSE),"-")</f>
        <v>-</v>
      </c>
    </row>
    <row r="187" spans="2:3" x14ac:dyDescent="0.45">
      <c r="B187" s="2" t="str">
        <f>_xlfn.IFNA(VLOOKUP(A187,'[1]신고 스프레드 확인'!$A$2:$B$1000,2,FALSE),"-")</f>
        <v>-</v>
      </c>
    </row>
    <row r="188" spans="2:3" x14ac:dyDescent="0.45">
      <c r="B188" s="2" t="str">
        <f>_xlfn.IFNA(VLOOKUP(A188,'[1]신고 스프레드 확인'!$A$2:$B$1000,2,FALSE),"-")</f>
        <v>-</v>
      </c>
    </row>
    <row r="189" spans="2:3" x14ac:dyDescent="0.45">
      <c r="B189" s="2" t="str">
        <f>_xlfn.IFNA(VLOOKUP(A189,'[1]신고 스프레드 확인'!$A$2:$B$1000,2,FALSE),"-")</f>
        <v>-</v>
      </c>
    </row>
    <row r="190" spans="2:3" x14ac:dyDescent="0.45">
      <c r="B190" s="2" t="str">
        <f>_xlfn.IFNA(VLOOKUP(A190,'[1]신고 스프레드 확인'!$A$2:$B$1000,2,FALSE),"-")</f>
        <v>-</v>
      </c>
    </row>
    <row r="191" spans="2:3" x14ac:dyDescent="0.45">
      <c r="B191" s="2" t="str">
        <f>_xlfn.IFNA(VLOOKUP(A191,'[1]신고 스프레드 확인'!$A$2:$B$1000,2,FALSE),"-")</f>
        <v>-</v>
      </c>
    </row>
    <row r="192" spans="2:3" x14ac:dyDescent="0.45">
      <c r="B192" s="2" t="str">
        <f>_xlfn.IFNA(VLOOKUP(A192,'[1]신고 스프레드 확인'!$A$2:$B$1000,2,FALSE),"-")</f>
        <v>-</v>
      </c>
    </row>
    <row r="193" spans="2:2" x14ac:dyDescent="0.45">
      <c r="B193" s="2" t="str">
        <f>_xlfn.IFNA(VLOOKUP(A193,'[1]신고 스프레드 확인'!$A$2:$B$1000,2,FALSE),"-")</f>
        <v>-</v>
      </c>
    </row>
    <row r="194" spans="2:2" x14ac:dyDescent="0.45">
      <c r="B194" s="2" t="str">
        <f>_xlfn.IFNA(VLOOKUP(A194,'[1]신고 스프레드 확인'!$A$2:$B$1000,2,FALSE),"-")</f>
        <v>-</v>
      </c>
    </row>
    <row r="195" spans="2:2" x14ac:dyDescent="0.45">
      <c r="B195" s="2" t="str">
        <f>_xlfn.IFNA(VLOOKUP(A195,'[1]신고 스프레드 확인'!$A$2:$B$1000,2,FALSE),"-")</f>
        <v>-</v>
      </c>
    </row>
    <row r="196" spans="2:2" x14ac:dyDescent="0.45">
      <c r="B196" s="2" t="str">
        <f>_xlfn.IFNA(VLOOKUP(A196,'[1]신고 스프레드 확인'!$A$2:$B$1000,2,FALSE),"-")</f>
        <v>-</v>
      </c>
    </row>
    <row r="197" spans="2:2" x14ac:dyDescent="0.45">
      <c r="B197" s="2" t="str">
        <f>_xlfn.IFNA(VLOOKUP(A197,'[1]신고 스프레드 확인'!$A$2:$B$1000,2,FALSE),"-")</f>
        <v>-</v>
      </c>
    </row>
    <row r="198" spans="2:2" x14ac:dyDescent="0.45">
      <c r="B198" s="2" t="str">
        <f>_xlfn.IFNA(VLOOKUP(A198,'[1]신고 스프레드 확인'!$A$2:$B$1000,2,FALSE),"-")</f>
        <v>-</v>
      </c>
    </row>
    <row r="199" spans="2:2" x14ac:dyDescent="0.45">
      <c r="B199" s="2" t="str">
        <f>_xlfn.IFNA(VLOOKUP(A199,'[1]신고 스프레드 확인'!$A$2:$B$1000,2,FALSE),"-")</f>
        <v>-</v>
      </c>
    </row>
    <row r="200" spans="2:2" x14ac:dyDescent="0.45">
      <c r="B200" s="2" t="str">
        <f>_xlfn.IFNA(VLOOKUP(A200,'[1]신고 스프레드 확인'!$A$2:$B$1000,2,FALSE),"-")</f>
        <v>-</v>
      </c>
    </row>
    <row r="201" spans="2:2" x14ac:dyDescent="0.45">
      <c r="B201" s="2" t="str">
        <f>_xlfn.IFNA(VLOOKUP(A201,'[1]신고 스프레드 확인'!$A$2:$B$1000,2,FALSE),"-")</f>
        <v>-</v>
      </c>
    </row>
    <row r="202" spans="2:2" x14ac:dyDescent="0.45">
      <c r="B202" s="2" t="str">
        <f>_xlfn.IFNA(VLOOKUP(A202,'[1]신고 스프레드 확인'!$A$2:$B$1000,2,FALSE),"-")</f>
        <v>-</v>
      </c>
    </row>
    <row r="203" spans="2:2" x14ac:dyDescent="0.45">
      <c r="B203" s="2" t="str">
        <f>_xlfn.IFNA(VLOOKUP(A203,'[1]신고 스프레드 확인'!$A$2:$B$1000,2,FALSE),"-")</f>
        <v>-</v>
      </c>
    </row>
    <row r="204" spans="2:2" x14ac:dyDescent="0.45">
      <c r="B204" s="2" t="str">
        <f>_xlfn.IFNA(VLOOKUP(A204,'[1]신고 스프레드 확인'!$A$2:$B$1000,2,FALSE),"-")</f>
        <v>-</v>
      </c>
    </row>
    <row r="205" spans="2:2" x14ac:dyDescent="0.45">
      <c r="B205" s="2" t="str">
        <f>_xlfn.IFNA(VLOOKUP(A205,'[1]신고 스프레드 확인'!$A$2:$B$1000,2,FALSE),"-")</f>
        <v>-</v>
      </c>
    </row>
    <row r="206" spans="2:2" x14ac:dyDescent="0.45">
      <c r="B206" s="2" t="str">
        <f>_xlfn.IFNA(VLOOKUP(A206,'[1]신고 스프레드 확인'!$A$2:$B$1000,2,FALSE),"-")</f>
        <v>-</v>
      </c>
    </row>
    <row r="207" spans="2:2" x14ac:dyDescent="0.45">
      <c r="B207" s="2" t="str">
        <f>_xlfn.IFNA(VLOOKUP(A207,'[1]신고 스프레드 확인'!$A$2:$B$1000,2,FALSE),"-")</f>
        <v>-</v>
      </c>
    </row>
    <row r="208" spans="2:2" x14ac:dyDescent="0.45">
      <c r="B208" s="2" t="str">
        <f>_xlfn.IFNA(VLOOKUP(A208,'[1]신고 스프레드 확인'!$A$2:$B$1000,2,FALSE),"-")</f>
        <v>-</v>
      </c>
    </row>
    <row r="209" spans="2:2" x14ac:dyDescent="0.45">
      <c r="B209" s="2" t="str">
        <f>_xlfn.IFNA(VLOOKUP(A209,'[1]신고 스프레드 확인'!$A$2:$B$1000,2,FALSE),"-")</f>
        <v>-</v>
      </c>
    </row>
    <row r="210" spans="2:2" x14ac:dyDescent="0.45">
      <c r="B210" s="2" t="str">
        <f>_xlfn.IFNA(VLOOKUP(A210,'[1]신고 스프레드 확인'!$A$2:$B$1000,2,FALSE),"-")</f>
        <v>-</v>
      </c>
    </row>
    <row r="211" spans="2:2" x14ac:dyDescent="0.45">
      <c r="B211" s="2" t="str">
        <f>_xlfn.IFNA(VLOOKUP(A211,'[1]신고 스프레드 확인'!$A$2:$B$1000,2,FALSE),"-")</f>
        <v>-</v>
      </c>
    </row>
    <row r="212" spans="2:2" x14ac:dyDescent="0.45">
      <c r="B212" s="2" t="str">
        <f>_xlfn.IFNA(VLOOKUP(A212,'[1]신고 스프레드 확인'!$A$2:$B$1000,2,FALSE),"-")</f>
        <v>-</v>
      </c>
    </row>
    <row r="213" spans="2:2" x14ac:dyDescent="0.45">
      <c r="B213" s="2" t="str">
        <f>_xlfn.IFNA(VLOOKUP(A213,'[1]신고 스프레드 확인'!$A$2:$B$1000,2,FALSE),"-")</f>
        <v>-</v>
      </c>
    </row>
    <row r="214" spans="2:2" x14ac:dyDescent="0.45">
      <c r="B214" s="2" t="str">
        <f>_xlfn.IFNA(VLOOKUP(A214,'[1]신고 스프레드 확인'!$A$2:$B$1000,2,FALSE),"-")</f>
        <v>-</v>
      </c>
    </row>
    <row r="215" spans="2:2" x14ac:dyDescent="0.45">
      <c r="B215" s="2" t="str">
        <f>_xlfn.IFNA(VLOOKUP(A215,'[1]신고 스프레드 확인'!$A$2:$B$1000,2,FALSE),"-")</f>
        <v>-</v>
      </c>
    </row>
    <row r="216" spans="2:2" x14ac:dyDescent="0.45">
      <c r="B216" s="2" t="str">
        <f>_xlfn.IFNA(VLOOKUP(A216,'[1]신고 스프레드 확인'!$A$2:$B$1000,2,FALSE),"-")</f>
        <v>-</v>
      </c>
    </row>
    <row r="217" spans="2:2" x14ac:dyDescent="0.45">
      <c r="B217" s="2" t="str">
        <f>_xlfn.IFNA(VLOOKUP(A217,'[1]신고 스프레드 확인'!$A$2:$B$1000,2,FALSE),"-")</f>
        <v>-</v>
      </c>
    </row>
    <row r="218" spans="2:2" x14ac:dyDescent="0.45">
      <c r="B218" s="2" t="str">
        <f>_xlfn.IFNA(VLOOKUP(A218,'[1]신고 스프레드 확인'!$A$2:$B$1000,2,FALSE),"-")</f>
        <v>-</v>
      </c>
    </row>
    <row r="219" spans="2:2" x14ac:dyDescent="0.45">
      <c r="B219" s="2" t="str">
        <f>_xlfn.IFNA(VLOOKUP(A219,'[1]신고 스프레드 확인'!$A$2:$B$1000,2,FALSE),"-")</f>
        <v>-</v>
      </c>
    </row>
    <row r="220" spans="2:2" x14ac:dyDescent="0.45">
      <c r="B220" s="2" t="str">
        <f>_xlfn.IFNA(VLOOKUP(A220,'[1]신고 스프레드 확인'!$A$2:$B$1000,2,FALSE),"-")</f>
        <v>-</v>
      </c>
    </row>
    <row r="221" spans="2:2" x14ac:dyDescent="0.45">
      <c r="B221" s="2" t="str">
        <f>_xlfn.IFNA(VLOOKUP(A221,'[1]신고 스프레드 확인'!$A$2:$B$1000,2,FALSE),"-")</f>
        <v>-</v>
      </c>
    </row>
    <row r="222" spans="2:2" x14ac:dyDescent="0.45">
      <c r="B222" s="2" t="str">
        <f>_xlfn.IFNA(VLOOKUP(A222,'[1]신고 스프레드 확인'!$A$2:$B$1000,2,FALSE),"-")</f>
        <v>-</v>
      </c>
    </row>
    <row r="223" spans="2:2" x14ac:dyDescent="0.45">
      <c r="B223" s="2" t="str">
        <f>_xlfn.IFNA(VLOOKUP(A223,'[1]신고 스프레드 확인'!$A$2:$B$1000,2,FALSE),"-")</f>
        <v>-</v>
      </c>
    </row>
    <row r="224" spans="2:2" x14ac:dyDescent="0.45">
      <c r="B224" s="2" t="str">
        <f>_xlfn.IFNA(VLOOKUP(A224,'[1]신고 스프레드 확인'!$A$2:$B$1000,2,FALSE),"-")</f>
        <v>-</v>
      </c>
    </row>
    <row r="225" spans="2:2" x14ac:dyDescent="0.45">
      <c r="B225" s="2" t="str">
        <f>_xlfn.IFNA(VLOOKUP(A225,'[1]신고 스프레드 확인'!$A$2:$B$1000,2,FALSE),"-")</f>
        <v>-</v>
      </c>
    </row>
    <row r="226" spans="2:2" x14ac:dyDescent="0.45">
      <c r="B226" s="2" t="str">
        <f>_xlfn.IFNA(VLOOKUP(A226,'[1]신고 스프레드 확인'!$A$2:$B$1000,2,FALSE),"-")</f>
        <v>-</v>
      </c>
    </row>
    <row r="227" spans="2:2" x14ac:dyDescent="0.45">
      <c r="B227" s="2" t="str">
        <f>_xlfn.IFNA(VLOOKUP(A227,'[1]신고 스프레드 확인'!$A$2:$B$1000,2,FALSE),"-")</f>
        <v>-</v>
      </c>
    </row>
    <row r="228" spans="2:2" x14ac:dyDescent="0.45">
      <c r="B228" s="2" t="str">
        <f>_xlfn.IFNA(VLOOKUP(A228,'[1]신고 스프레드 확인'!$A$2:$B$1000,2,FALSE),"-")</f>
        <v>-</v>
      </c>
    </row>
    <row r="229" spans="2:2" x14ac:dyDescent="0.45">
      <c r="B229" s="2" t="str">
        <f>_xlfn.IFNA(VLOOKUP(A229,'[1]신고 스프레드 확인'!$A$2:$B$1000,2,FALSE),"-")</f>
        <v>-</v>
      </c>
    </row>
    <row r="230" spans="2:2" x14ac:dyDescent="0.45">
      <c r="B230" s="2" t="str">
        <f>_xlfn.IFNA(VLOOKUP(A230,'[1]신고 스프레드 확인'!$A$2:$B$1000,2,FALSE),"-")</f>
        <v>-</v>
      </c>
    </row>
    <row r="231" spans="2:2" x14ac:dyDescent="0.45">
      <c r="B231" s="2" t="str">
        <f>_xlfn.IFNA(VLOOKUP(A231,'[1]신고 스프레드 확인'!$A$2:$B$1000,2,FALSE),"-")</f>
        <v>-</v>
      </c>
    </row>
    <row r="232" spans="2:2" x14ac:dyDescent="0.45">
      <c r="B232" s="2" t="str">
        <f>_xlfn.IFNA(VLOOKUP(A232,'[1]신고 스프레드 확인'!$A$2:$B$1000,2,FALSE),"-")</f>
        <v>-</v>
      </c>
    </row>
    <row r="233" spans="2:2" x14ac:dyDescent="0.45">
      <c r="B233" s="2" t="str">
        <f>_xlfn.IFNA(VLOOKUP(A233,'[1]신고 스프레드 확인'!$A$2:$B$1000,2,FALSE),"-")</f>
        <v>-</v>
      </c>
    </row>
    <row r="234" spans="2:2" x14ac:dyDescent="0.45">
      <c r="B234" s="2" t="str">
        <f>_xlfn.IFNA(VLOOKUP(A234,'[1]신고 스프레드 확인'!$A$2:$B$1000,2,FALSE),"-")</f>
        <v>-</v>
      </c>
    </row>
    <row r="235" spans="2:2" x14ac:dyDescent="0.45">
      <c r="B235" s="2" t="str">
        <f>_xlfn.IFNA(VLOOKUP(A235,'[1]신고 스프레드 확인'!$A$2:$B$1000,2,FALSE),"-")</f>
        <v>-</v>
      </c>
    </row>
    <row r="236" spans="2:2" x14ac:dyDescent="0.45">
      <c r="B236" s="2" t="str">
        <f>_xlfn.IFNA(VLOOKUP(A236,'[1]신고 스프레드 확인'!$A$2:$B$1000,2,FALSE),"-")</f>
        <v>-</v>
      </c>
    </row>
    <row r="237" spans="2:2" x14ac:dyDescent="0.45">
      <c r="B237" s="2" t="str">
        <f>_xlfn.IFNA(VLOOKUP(A237,'[1]신고 스프레드 확인'!$A$2:$B$1000,2,FALSE),"-")</f>
        <v>-</v>
      </c>
    </row>
    <row r="238" spans="2:2" x14ac:dyDescent="0.45">
      <c r="B238" s="2" t="str">
        <f>_xlfn.IFNA(VLOOKUP(A238,'[1]신고 스프레드 확인'!$A$2:$B$1000,2,FALSE),"-")</f>
        <v>-</v>
      </c>
    </row>
    <row r="239" spans="2:2" x14ac:dyDescent="0.45">
      <c r="B239" s="2" t="str">
        <f>_xlfn.IFNA(VLOOKUP(A239,'[1]신고 스프레드 확인'!$A$2:$B$1000,2,FALSE),"-")</f>
        <v>-</v>
      </c>
    </row>
    <row r="240" spans="2:2" x14ac:dyDescent="0.45">
      <c r="B240" s="2" t="str">
        <f>_xlfn.IFNA(VLOOKUP(A240,'[1]신고 스프레드 확인'!$A$2:$B$1000,2,FALSE),"-")</f>
        <v>-</v>
      </c>
    </row>
    <row r="241" spans="2:2" x14ac:dyDescent="0.45">
      <c r="B241" s="2" t="str">
        <f>_xlfn.IFNA(VLOOKUP(A241,'[1]신고 스프레드 확인'!$A$2:$B$1000,2,FALSE),"-")</f>
        <v>-</v>
      </c>
    </row>
    <row r="242" spans="2:2" x14ac:dyDescent="0.45">
      <c r="B242" s="2" t="str">
        <f>_xlfn.IFNA(VLOOKUP(A242,'[1]신고 스프레드 확인'!$A$2:$B$1000,2,FALSE),"-")</f>
        <v>-</v>
      </c>
    </row>
    <row r="243" spans="2:2" x14ac:dyDescent="0.45">
      <c r="B243" s="2" t="str">
        <f>_xlfn.IFNA(VLOOKUP(A243,'[1]신고 스프레드 확인'!$A$2:$B$1000,2,FALSE),"-")</f>
        <v>-</v>
      </c>
    </row>
    <row r="244" spans="2:2" x14ac:dyDescent="0.45">
      <c r="B244" s="2" t="str">
        <f>_xlfn.IFNA(VLOOKUP(A244,'[1]신고 스프레드 확인'!$A$2:$B$1000,2,FALSE),"-")</f>
        <v>-</v>
      </c>
    </row>
    <row r="245" spans="2:2" x14ac:dyDescent="0.45">
      <c r="B245" s="2" t="str">
        <f>_xlfn.IFNA(VLOOKUP(A245,'[1]신고 스프레드 확인'!$A$2:$B$1000,2,FALSE),"-")</f>
        <v>-</v>
      </c>
    </row>
    <row r="246" spans="2:2" x14ac:dyDescent="0.45">
      <c r="B246" s="2" t="str">
        <f>_xlfn.IFNA(VLOOKUP(A246,'[1]신고 스프레드 확인'!$A$2:$B$1000,2,FALSE),"-")</f>
        <v>-</v>
      </c>
    </row>
    <row r="247" spans="2:2" x14ac:dyDescent="0.45">
      <c r="B247" s="2" t="str">
        <f>_xlfn.IFNA(VLOOKUP(A247,'[1]신고 스프레드 확인'!$A$2:$B$1000,2,FALSE),"-")</f>
        <v>-</v>
      </c>
    </row>
    <row r="248" spans="2:2" x14ac:dyDescent="0.45">
      <c r="B248" s="2" t="str">
        <f>_xlfn.IFNA(VLOOKUP(A248,'[1]신고 스프레드 확인'!$A$2:$B$1000,2,FALSE),"-")</f>
        <v>-</v>
      </c>
    </row>
    <row r="249" spans="2:2" x14ac:dyDescent="0.45">
      <c r="B249" s="2" t="str">
        <f>_xlfn.IFNA(VLOOKUP(A249,'[1]신고 스프레드 확인'!$A$2:$B$1000,2,FALSE),"-")</f>
        <v>-</v>
      </c>
    </row>
    <row r="250" spans="2:2" x14ac:dyDescent="0.45">
      <c r="B250" s="2" t="str">
        <f>_xlfn.IFNA(VLOOKUP(A250,'[1]신고 스프레드 확인'!$A$2:$B$1000,2,FALSE),"-")</f>
        <v>-</v>
      </c>
    </row>
    <row r="251" spans="2:2" x14ac:dyDescent="0.45">
      <c r="B251" s="2" t="str">
        <f>_xlfn.IFNA(VLOOKUP(A251,'[1]신고 스프레드 확인'!$A$2:$B$1000,2,FALSE),"-")</f>
        <v>-</v>
      </c>
    </row>
    <row r="252" spans="2:2" x14ac:dyDescent="0.45">
      <c r="B252" s="2" t="str">
        <f>_xlfn.IFNA(VLOOKUP(A252,'[1]신고 스프레드 확인'!$A$2:$B$1000,2,FALSE),"-")</f>
        <v>-</v>
      </c>
    </row>
    <row r="253" spans="2:2" x14ac:dyDescent="0.45">
      <c r="B253" s="2" t="str">
        <f>_xlfn.IFNA(VLOOKUP(A253,'[1]신고 스프레드 확인'!$A$2:$B$1000,2,FALSE),"-")</f>
        <v>-</v>
      </c>
    </row>
    <row r="254" spans="2:2" x14ac:dyDescent="0.45">
      <c r="B254" s="2" t="str">
        <f>_xlfn.IFNA(VLOOKUP(A254,'[1]신고 스프레드 확인'!$A$2:$B$1000,2,FALSE),"-")</f>
        <v>-</v>
      </c>
    </row>
    <row r="255" spans="2:2" x14ac:dyDescent="0.45">
      <c r="B255" s="2" t="str">
        <f>_xlfn.IFNA(VLOOKUP(A255,'[1]신고 스프레드 확인'!$A$2:$B$1000,2,FALSE),"-")</f>
        <v>-</v>
      </c>
    </row>
    <row r="256" spans="2:2" x14ac:dyDescent="0.45">
      <c r="B256" s="2" t="str">
        <f>_xlfn.IFNA(VLOOKUP(A256,'[1]신고 스프레드 확인'!$A$2:$B$1000,2,FALSE),"-")</f>
        <v>-</v>
      </c>
    </row>
    <row r="257" spans="2:2" x14ac:dyDescent="0.45">
      <c r="B257" s="2" t="str">
        <f>_xlfn.IFNA(VLOOKUP(A257,'[1]신고 스프레드 확인'!$A$2:$B$1000,2,FALSE),"-")</f>
        <v>-</v>
      </c>
    </row>
    <row r="258" spans="2:2" x14ac:dyDescent="0.45">
      <c r="B258" s="2" t="str">
        <f>_xlfn.IFNA(VLOOKUP(A258,'[1]신고 스프레드 확인'!$A$2:$B$1000,2,FALSE),"-")</f>
        <v>-</v>
      </c>
    </row>
    <row r="259" spans="2:2" x14ac:dyDescent="0.45">
      <c r="B259" s="2" t="str">
        <f>_xlfn.IFNA(VLOOKUP(A259,'[1]신고 스프레드 확인'!$A$2:$B$1000,2,FALSE),"-")</f>
        <v>-</v>
      </c>
    </row>
    <row r="260" spans="2:2" x14ac:dyDescent="0.45">
      <c r="B260" s="2" t="str">
        <f>_xlfn.IFNA(VLOOKUP(A260,'[1]신고 스프레드 확인'!$A$2:$B$1000,2,FALSE),"-")</f>
        <v>-</v>
      </c>
    </row>
    <row r="261" spans="2:2" x14ac:dyDescent="0.45">
      <c r="B261" s="2" t="str">
        <f>_xlfn.IFNA(VLOOKUP(A261,'[1]신고 스프레드 확인'!$A$2:$B$1000,2,FALSE),"-")</f>
        <v>-</v>
      </c>
    </row>
    <row r="262" spans="2:2" x14ac:dyDescent="0.45">
      <c r="B262" s="2" t="str">
        <f>_xlfn.IFNA(VLOOKUP(A262,'[1]신고 스프레드 확인'!$A$2:$B$1000,2,FALSE),"-")</f>
        <v>-</v>
      </c>
    </row>
    <row r="263" spans="2:2" x14ac:dyDescent="0.45">
      <c r="B263" s="2" t="str">
        <f>_xlfn.IFNA(VLOOKUP(A263,'[1]신고 스프레드 확인'!$A$2:$B$1000,2,FALSE),"-")</f>
        <v>-</v>
      </c>
    </row>
    <row r="264" spans="2:2" x14ac:dyDescent="0.45">
      <c r="B264" s="2" t="str">
        <f>_xlfn.IFNA(VLOOKUP(A264,'[1]신고 스프레드 확인'!$A$2:$B$1000,2,FALSE),"-")</f>
        <v>-</v>
      </c>
    </row>
    <row r="265" spans="2:2" x14ac:dyDescent="0.45">
      <c r="B265" s="2" t="str">
        <f>_xlfn.IFNA(VLOOKUP(A265,'[1]신고 스프레드 확인'!$A$2:$B$1000,2,FALSE),"-")</f>
        <v>-</v>
      </c>
    </row>
    <row r="266" spans="2:2" x14ac:dyDescent="0.45">
      <c r="B266" s="2" t="str">
        <f>_xlfn.IFNA(VLOOKUP(A266,'[1]신고 스프레드 확인'!$A$2:$B$1000,2,FALSE),"-")</f>
        <v>-</v>
      </c>
    </row>
    <row r="267" spans="2:2" x14ac:dyDescent="0.45">
      <c r="B267" s="2" t="str">
        <f>_xlfn.IFNA(VLOOKUP(A267,'[1]신고 스프레드 확인'!$A$2:$B$1000,2,FALSE),"-")</f>
        <v>-</v>
      </c>
    </row>
    <row r="268" spans="2:2" x14ac:dyDescent="0.45">
      <c r="B268" s="2" t="str">
        <f>_xlfn.IFNA(VLOOKUP(A268,'[1]신고 스프레드 확인'!$A$2:$B$1000,2,FALSE),"-")</f>
        <v>-</v>
      </c>
    </row>
    <row r="269" spans="2:2" x14ac:dyDescent="0.45">
      <c r="B269" s="2" t="str">
        <f>_xlfn.IFNA(VLOOKUP(A269,'[1]신고 스프레드 확인'!$A$2:$B$1000,2,FALSE),"-")</f>
        <v>-</v>
      </c>
    </row>
    <row r="270" spans="2:2" x14ac:dyDescent="0.45">
      <c r="B270" s="2" t="str">
        <f>_xlfn.IFNA(VLOOKUP(A270,'[1]신고 스프레드 확인'!$A$2:$B$1000,2,FALSE),"-")</f>
        <v>-</v>
      </c>
    </row>
    <row r="271" spans="2:2" x14ac:dyDescent="0.45">
      <c r="B271" s="2" t="str">
        <f>_xlfn.IFNA(VLOOKUP(A271,'[1]신고 스프레드 확인'!$A$2:$B$1000,2,FALSE),"-")</f>
        <v>-</v>
      </c>
    </row>
    <row r="272" spans="2:2" x14ac:dyDescent="0.45">
      <c r="B272" s="2" t="str">
        <f>_xlfn.IFNA(VLOOKUP(A272,'[1]신고 스프레드 확인'!$A$2:$B$1000,2,FALSE),"-")</f>
        <v>-</v>
      </c>
    </row>
    <row r="273" spans="2:2" x14ac:dyDescent="0.45">
      <c r="B273" s="2" t="str">
        <f>_xlfn.IFNA(VLOOKUP(A273,'[1]신고 스프레드 확인'!$A$2:$B$1000,2,FALSE),"-")</f>
        <v>-</v>
      </c>
    </row>
    <row r="274" spans="2:2" x14ac:dyDescent="0.45">
      <c r="B274" s="2" t="str">
        <f>_xlfn.IFNA(VLOOKUP(A274,'[1]신고 스프레드 확인'!$A$2:$B$1000,2,FALSE),"-")</f>
        <v>-</v>
      </c>
    </row>
    <row r="275" spans="2:2" x14ac:dyDescent="0.45">
      <c r="B275" s="2" t="str">
        <f>_xlfn.IFNA(VLOOKUP(A275,'[1]신고 스프레드 확인'!$A$2:$B$1000,2,FALSE),"-")</f>
        <v>-</v>
      </c>
    </row>
    <row r="276" spans="2:2" x14ac:dyDescent="0.45">
      <c r="B276" s="2" t="str">
        <f>_xlfn.IFNA(VLOOKUP(A276,'[1]신고 스프레드 확인'!$A$2:$B$1000,2,FALSE),"-")</f>
        <v>-</v>
      </c>
    </row>
    <row r="277" spans="2:2" x14ac:dyDescent="0.45">
      <c r="B277" s="2" t="str">
        <f>_xlfn.IFNA(VLOOKUP(A277,'[1]신고 스프레드 확인'!$A$2:$B$1000,2,FALSE),"-")</f>
        <v>-</v>
      </c>
    </row>
    <row r="278" spans="2:2" x14ac:dyDescent="0.45">
      <c r="B278" s="2" t="str">
        <f>_xlfn.IFNA(VLOOKUP(A278,'[1]신고 스프레드 확인'!$A$2:$B$1000,2,FALSE),"-")</f>
        <v>-</v>
      </c>
    </row>
    <row r="279" spans="2:2" x14ac:dyDescent="0.45">
      <c r="B279" s="2" t="str">
        <f>_xlfn.IFNA(VLOOKUP(A279,'[1]신고 스프레드 확인'!$A$2:$B$1000,2,FALSE),"-")</f>
        <v>-</v>
      </c>
    </row>
    <row r="280" spans="2:2" x14ac:dyDescent="0.45">
      <c r="B280" s="2" t="str">
        <f>_xlfn.IFNA(VLOOKUP(A280,'[1]신고 스프레드 확인'!$A$2:$B$1000,2,FALSE),"-")</f>
        <v>-</v>
      </c>
    </row>
    <row r="281" spans="2:2" x14ac:dyDescent="0.45">
      <c r="B281" s="2" t="str">
        <f>_xlfn.IFNA(VLOOKUP(A281,'[1]신고 스프레드 확인'!$A$2:$B$1000,2,FALSE),"-")</f>
        <v>-</v>
      </c>
    </row>
    <row r="282" spans="2:2" x14ac:dyDescent="0.45">
      <c r="B282" s="2" t="str">
        <f>_xlfn.IFNA(VLOOKUP(A282,'[1]신고 스프레드 확인'!$A$2:$B$1000,2,FALSE),"-")</f>
        <v>-</v>
      </c>
    </row>
    <row r="283" spans="2:2" x14ac:dyDescent="0.45">
      <c r="B283" s="2" t="str">
        <f>_xlfn.IFNA(VLOOKUP(A283,'[1]신고 스프레드 확인'!$A$2:$B$1000,2,FALSE),"-")</f>
        <v>-</v>
      </c>
    </row>
    <row r="284" spans="2:2" x14ac:dyDescent="0.45">
      <c r="B284" s="2" t="str">
        <f>_xlfn.IFNA(VLOOKUP(A284,'[1]신고 스프레드 확인'!$A$2:$B$1000,2,FALSE),"-")</f>
        <v>-</v>
      </c>
    </row>
    <row r="285" spans="2:2" x14ac:dyDescent="0.45">
      <c r="B285" s="2" t="str">
        <f>_xlfn.IFNA(VLOOKUP(A285,'[1]신고 스프레드 확인'!$A$2:$B$1000,2,FALSE),"-")</f>
        <v>-</v>
      </c>
    </row>
    <row r="286" spans="2:2" x14ac:dyDescent="0.45">
      <c r="B286" s="2" t="str">
        <f>_xlfn.IFNA(VLOOKUP(A286,'[1]신고 스프레드 확인'!$A$2:$B$1000,2,FALSE),"-")</f>
        <v>-</v>
      </c>
    </row>
    <row r="287" spans="2:2" x14ac:dyDescent="0.45">
      <c r="B287" s="2" t="str">
        <f>_xlfn.IFNA(VLOOKUP(A287,'[1]신고 스프레드 확인'!$A$2:$B$1000,2,FALSE),"-")</f>
        <v>-</v>
      </c>
    </row>
    <row r="288" spans="2:2" x14ac:dyDescent="0.45">
      <c r="B288" s="2" t="str">
        <f>_xlfn.IFNA(VLOOKUP(A288,'[1]신고 스프레드 확인'!$A$2:$B$1000,2,FALSE),"-")</f>
        <v>-</v>
      </c>
    </row>
    <row r="289" spans="2:2" x14ac:dyDescent="0.45">
      <c r="B289" s="2" t="str">
        <f>_xlfn.IFNA(VLOOKUP(A289,'[1]신고 스프레드 확인'!$A$2:$B$1000,2,FALSE),"-")</f>
        <v>-</v>
      </c>
    </row>
    <row r="290" spans="2:2" x14ac:dyDescent="0.45">
      <c r="B290" s="2" t="str">
        <f>_xlfn.IFNA(VLOOKUP(A290,'[1]신고 스프레드 확인'!$A$2:$B$1000,2,FALSE),"-")</f>
        <v>-</v>
      </c>
    </row>
    <row r="291" spans="2:2" x14ac:dyDescent="0.45">
      <c r="B291" s="2" t="str">
        <f>_xlfn.IFNA(VLOOKUP(A291,'[1]신고 스프레드 확인'!$A$2:$B$1000,2,FALSE),"-")</f>
        <v>-</v>
      </c>
    </row>
    <row r="292" spans="2:2" x14ac:dyDescent="0.45">
      <c r="B292" s="2" t="str">
        <f>_xlfn.IFNA(VLOOKUP(A292,'[1]신고 스프레드 확인'!$A$2:$B$1000,2,FALSE),"-")</f>
        <v>-</v>
      </c>
    </row>
    <row r="293" spans="2:2" x14ac:dyDescent="0.45">
      <c r="B293" s="2" t="str">
        <f>_xlfn.IFNA(VLOOKUP(A293,'[1]신고 스프레드 확인'!$A$2:$B$1000,2,FALSE),"-")</f>
        <v>-</v>
      </c>
    </row>
    <row r="294" spans="2:2" x14ac:dyDescent="0.45">
      <c r="B294" s="2" t="str">
        <f>_xlfn.IFNA(VLOOKUP(A294,'[1]신고 스프레드 확인'!$A$2:$B$1000,2,FALSE),"-")</f>
        <v>-</v>
      </c>
    </row>
    <row r="295" spans="2:2" x14ac:dyDescent="0.45">
      <c r="B295" s="2" t="str">
        <f>_xlfn.IFNA(VLOOKUP(A295,'[1]신고 스프레드 확인'!$A$2:$B$1000,2,FALSE),"-")</f>
        <v>-</v>
      </c>
    </row>
    <row r="296" spans="2:2" x14ac:dyDescent="0.45">
      <c r="B296" s="2" t="str">
        <f>_xlfn.IFNA(VLOOKUP(A296,'[1]신고 스프레드 확인'!$A$2:$B$1000,2,FALSE),"-")</f>
        <v>-</v>
      </c>
    </row>
    <row r="297" spans="2:2" x14ac:dyDescent="0.45">
      <c r="B297" s="2" t="str">
        <f>_xlfn.IFNA(VLOOKUP(A297,'[1]신고 스프레드 확인'!$A$2:$B$1000,2,FALSE),"-")</f>
        <v>-</v>
      </c>
    </row>
    <row r="298" spans="2:2" x14ac:dyDescent="0.45">
      <c r="B298" s="2" t="str">
        <f>_xlfn.IFNA(VLOOKUP(A298,'[1]신고 스프레드 확인'!$A$2:$B$1000,2,FALSE),"-")</f>
        <v>-</v>
      </c>
    </row>
    <row r="299" spans="2:2" x14ac:dyDescent="0.45">
      <c r="B299" s="2" t="str">
        <f>_xlfn.IFNA(VLOOKUP(A299,'[1]신고 스프레드 확인'!$A$2:$B$1000,2,FALSE),"-")</f>
        <v>-</v>
      </c>
    </row>
    <row r="300" spans="2:2" x14ac:dyDescent="0.45">
      <c r="B300" s="2" t="str">
        <f>_xlfn.IFNA(VLOOKUP(A300,'[1]신고 스프레드 확인'!$A$2:$B$1000,2,FALSE),"-")</f>
        <v>-</v>
      </c>
    </row>
    <row r="301" spans="2:2" x14ac:dyDescent="0.45">
      <c r="B301" s="2" t="str">
        <f>_xlfn.IFNA(VLOOKUP(A301,'[1]신고 스프레드 확인'!$A$2:$B$1000,2,FALSE),"-")</f>
        <v>-</v>
      </c>
    </row>
    <row r="302" spans="2:2" x14ac:dyDescent="0.45">
      <c r="B302" s="2" t="str">
        <f>_xlfn.IFNA(VLOOKUP(A302,'[1]신고 스프레드 확인'!$A$2:$B$1000,2,FALSE),"-")</f>
        <v>-</v>
      </c>
    </row>
    <row r="303" spans="2:2" x14ac:dyDescent="0.45">
      <c r="B303" s="2" t="str">
        <f>_xlfn.IFNA(VLOOKUP(A303,'[1]신고 스프레드 확인'!$A$2:$B$1000,2,FALSE),"-")</f>
        <v>-</v>
      </c>
    </row>
    <row r="304" spans="2:2" x14ac:dyDescent="0.45">
      <c r="B304" s="2" t="str">
        <f>_xlfn.IFNA(VLOOKUP(A304,'[1]신고 스프레드 확인'!$A$2:$B$1000,2,FALSE),"-")</f>
        <v>-</v>
      </c>
    </row>
    <row r="305" spans="2:2" x14ac:dyDescent="0.45">
      <c r="B305" s="2" t="str">
        <f>_xlfn.IFNA(VLOOKUP(A305,'[1]신고 스프레드 확인'!$A$2:$B$1000,2,FALSE),"-")</f>
        <v>-</v>
      </c>
    </row>
    <row r="306" spans="2:2" x14ac:dyDescent="0.45">
      <c r="B306" s="2" t="str">
        <f>_xlfn.IFNA(VLOOKUP(A306,'[1]신고 스프레드 확인'!$A$2:$B$1000,2,FALSE),"-")</f>
        <v>-</v>
      </c>
    </row>
    <row r="307" spans="2:2" x14ac:dyDescent="0.45">
      <c r="B307" s="2" t="str">
        <f>_xlfn.IFNA(VLOOKUP(A307,'[1]신고 스프레드 확인'!$A$2:$B$1000,2,FALSE),"-")</f>
        <v>-</v>
      </c>
    </row>
    <row r="308" spans="2:2" x14ac:dyDescent="0.45">
      <c r="B308" s="2" t="str">
        <f>_xlfn.IFNA(VLOOKUP(A308,'[1]신고 스프레드 확인'!$A$2:$B$1000,2,FALSE),"-")</f>
        <v>-</v>
      </c>
    </row>
    <row r="309" spans="2:2" x14ac:dyDescent="0.45">
      <c r="B309" s="2" t="str">
        <f>_xlfn.IFNA(VLOOKUP(A309,'[1]신고 스프레드 확인'!$A$2:$B$1000,2,FALSE),"-")</f>
        <v>-</v>
      </c>
    </row>
    <row r="310" spans="2:2" x14ac:dyDescent="0.45">
      <c r="B310" s="2" t="str">
        <f>_xlfn.IFNA(VLOOKUP(A310,'[1]신고 스프레드 확인'!$A$2:$B$1000,2,FALSE),"-")</f>
        <v>-</v>
      </c>
    </row>
    <row r="311" spans="2:2" x14ac:dyDescent="0.45">
      <c r="B311" s="2" t="str">
        <f>_xlfn.IFNA(VLOOKUP(A311,'[1]신고 스프레드 확인'!$A$2:$B$1000,2,FALSE),"-")</f>
        <v>-</v>
      </c>
    </row>
    <row r="312" spans="2:2" x14ac:dyDescent="0.45">
      <c r="B312" s="2" t="str">
        <f>_xlfn.IFNA(VLOOKUP(A312,'[1]신고 스프레드 확인'!$A$2:$B$1000,2,FALSE),"-")</f>
        <v>-</v>
      </c>
    </row>
    <row r="313" spans="2:2" x14ac:dyDescent="0.45">
      <c r="B313" s="2" t="str">
        <f>_xlfn.IFNA(VLOOKUP(A313,'[1]신고 스프레드 확인'!$A$2:$B$1000,2,FALSE),"-")</f>
        <v>-</v>
      </c>
    </row>
    <row r="314" spans="2:2" x14ac:dyDescent="0.45">
      <c r="B314" s="2" t="str">
        <f>_xlfn.IFNA(VLOOKUP(A314,'[1]신고 스프레드 확인'!$A$2:$B$1000,2,FALSE),"-")</f>
        <v>-</v>
      </c>
    </row>
    <row r="315" spans="2:2" x14ac:dyDescent="0.45">
      <c r="B315" s="2" t="str">
        <f>_xlfn.IFNA(VLOOKUP(A315,'[1]신고 스프레드 확인'!$A$2:$B$1000,2,FALSE),"-")</f>
        <v>-</v>
      </c>
    </row>
    <row r="316" spans="2:2" x14ac:dyDescent="0.45">
      <c r="B316" s="2" t="str">
        <f>_xlfn.IFNA(VLOOKUP(A316,'[1]신고 스프레드 확인'!$A$2:$B$1000,2,FALSE),"-")</f>
        <v>-</v>
      </c>
    </row>
    <row r="317" spans="2:2" x14ac:dyDescent="0.45">
      <c r="B317" s="2" t="str">
        <f>_xlfn.IFNA(VLOOKUP(A317,'[1]신고 스프레드 확인'!$A$2:$B$1000,2,FALSE),"-")</f>
        <v>-</v>
      </c>
    </row>
    <row r="318" spans="2:2" x14ac:dyDescent="0.45">
      <c r="B318" s="2" t="str">
        <f>_xlfn.IFNA(VLOOKUP(A318,'[1]신고 스프레드 확인'!$A$2:$B$1000,2,FALSE),"-")</f>
        <v>-</v>
      </c>
    </row>
    <row r="319" spans="2:2" x14ac:dyDescent="0.45">
      <c r="B319" s="2" t="str">
        <f>_xlfn.IFNA(VLOOKUP(A319,'[1]신고 스프레드 확인'!$A$2:$B$1000,2,FALSE),"-")</f>
        <v>-</v>
      </c>
    </row>
    <row r="320" spans="2:2" x14ac:dyDescent="0.45">
      <c r="B320" s="2" t="str">
        <f>_xlfn.IFNA(VLOOKUP(A320,'[1]신고 스프레드 확인'!$A$2:$B$1000,2,FALSE),"-")</f>
        <v>-</v>
      </c>
    </row>
    <row r="321" spans="2:2" x14ac:dyDescent="0.45">
      <c r="B321" s="2" t="str">
        <f>_xlfn.IFNA(VLOOKUP(A321,'[1]신고 스프레드 확인'!$A$2:$B$1000,2,FALSE),"-")</f>
        <v>-</v>
      </c>
    </row>
    <row r="322" spans="2:2" x14ac:dyDescent="0.45">
      <c r="B322" s="2" t="str">
        <f>_xlfn.IFNA(VLOOKUP(A322,'[1]신고 스프레드 확인'!$A$2:$B$1000,2,FALSE),"-")</f>
        <v>-</v>
      </c>
    </row>
    <row r="323" spans="2:2" x14ac:dyDescent="0.45">
      <c r="B323" s="2" t="str">
        <f>_xlfn.IFNA(VLOOKUP(A323,'[1]신고 스프레드 확인'!$A$2:$B$1000,2,FALSE),"-")</f>
        <v>-</v>
      </c>
    </row>
    <row r="324" spans="2:2" x14ac:dyDescent="0.45">
      <c r="B324" s="2" t="str">
        <f>_xlfn.IFNA(VLOOKUP(A324,'[1]신고 스프레드 확인'!$A$2:$B$1000,2,FALSE),"-")</f>
        <v>-</v>
      </c>
    </row>
    <row r="325" spans="2:2" x14ac:dyDescent="0.45">
      <c r="B325" s="2" t="str">
        <f>_xlfn.IFNA(VLOOKUP(A325,'[1]신고 스프레드 확인'!$A$2:$B$1000,2,FALSE),"-")</f>
        <v>-</v>
      </c>
    </row>
    <row r="326" spans="2:2" x14ac:dyDescent="0.45">
      <c r="B326" s="2" t="str">
        <f>_xlfn.IFNA(VLOOKUP(A326,'[1]신고 스프레드 확인'!$A$2:$B$1000,2,FALSE),"-")</f>
        <v>-</v>
      </c>
    </row>
    <row r="327" spans="2:2" x14ac:dyDescent="0.45">
      <c r="B327" s="2" t="str">
        <f>_xlfn.IFNA(VLOOKUP(A327,'[1]신고 스프레드 확인'!$A$2:$B$1000,2,FALSE),"-")</f>
        <v>-</v>
      </c>
    </row>
    <row r="328" spans="2:2" x14ac:dyDescent="0.45">
      <c r="B328" s="2" t="str">
        <f>_xlfn.IFNA(VLOOKUP(A328,'[1]신고 스프레드 확인'!$A$2:$B$1000,2,FALSE),"-")</f>
        <v>-</v>
      </c>
    </row>
    <row r="329" spans="2:2" x14ac:dyDescent="0.45">
      <c r="B329" s="2" t="str">
        <f>_xlfn.IFNA(VLOOKUP(A329,'[1]신고 스프레드 확인'!$A$2:$B$1000,2,FALSE),"-")</f>
        <v>-</v>
      </c>
    </row>
    <row r="330" spans="2:2" x14ac:dyDescent="0.45">
      <c r="B330" s="2" t="str">
        <f>_xlfn.IFNA(VLOOKUP(A330,'[1]신고 스프레드 확인'!$A$2:$B$1000,2,FALSE),"-")</f>
        <v>-</v>
      </c>
    </row>
    <row r="331" spans="2:2" x14ac:dyDescent="0.45">
      <c r="B331" s="2" t="str">
        <f>_xlfn.IFNA(VLOOKUP(A331,'[1]신고 스프레드 확인'!$A$2:$B$1000,2,FALSE),"-")</f>
        <v>-</v>
      </c>
    </row>
    <row r="332" spans="2:2" x14ac:dyDescent="0.45">
      <c r="B332" s="2" t="str">
        <f>_xlfn.IFNA(VLOOKUP(A332,'[1]신고 스프레드 확인'!$A$2:$B$1000,2,FALSE),"-")</f>
        <v>-</v>
      </c>
    </row>
    <row r="333" spans="2:2" x14ac:dyDescent="0.45">
      <c r="B333" s="2" t="str">
        <f>_xlfn.IFNA(VLOOKUP(A333,'[1]신고 스프레드 확인'!$A$2:$B$1000,2,FALSE),"-")</f>
        <v>-</v>
      </c>
    </row>
    <row r="334" spans="2:2" x14ac:dyDescent="0.45">
      <c r="B334" s="2" t="str">
        <f>_xlfn.IFNA(VLOOKUP(A334,'[1]신고 스프레드 확인'!$A$2:$B$1000,2,FALSE),"-")</f>
        <v>-</v>
      </c>
    </row>
    <row r="335" spans="2:2" x14ac:dyDescent="0.45">
      <c r="B335" s="2" t="str">
        <f>_xlfn.IFNA(VLOOKUP(A335,'[1]신고 스프레드 확인'!$A$2:$B$1000,2,FALSE),"-")</f>
        <v>-</v>
      </c>
    </row>
    <row r="336" spans="2:2" x14ac:dyDescent="0.45">
      <c r="B336" s="2" t="str">
        <f>_xlfn.IFNA(VLOOKUP(A336,'[1]신고 스프레드 확인'!$A$2:$B$1000,2,FALSE),"-")</f>
        <v>-</v>
      </c>
    </row>
    <row r="337" spans="2:2" x14ac:dyDescent="0.45">
      <c r="B337" s="2" t="str">
        <f>_xlfn.IFNA(VLOOKUP(A337,'[1]신고 스프레드 확인'!$A$2:$B$1000,2,FALSE),"-")</f>
        <v>-</v>
      </c>
    </row>
    <row r="338" spans="2:2" x14ac:dyDescent="0.45">
      <c r="B338" s="2" t="str">
        <f>_xlfn.IFNA(VLOOKUP(A338,'[1]신고 스프레드 확인'!$A$2:$B$1000,2,FALSE),"-")</f>
        <v>-</v>
      </c>
    </row>
    <row r="339" spans="2:2" x14ac:dyDescent="0.45">
      <c r="B339" s="2" t="str">
        <f>_xlfn.IFNA(VLOOKUP(A339,'[1]신고 스프레드 확인'!$A$2:$B$1000,2,FALSE),"-")</f>
        <v>-</v>
      </c>
    </row>
    <row r="340" spans="2:2" x14ac:dyDescent="0.45">
      <c r="B340" s="2" t="str">
        <f>_xlfn.IFNA(VLOOKUP(A340,'[1]신고 스프레드 확인'!$A$2:$B$1000,2,FALSE),"-")</f>
        <v>-</v>
      </c>
    </row>
    <row r="341" spans="2:2" x14ac:dyDescent="0.45">
      <c r="B341" s="2" t="str">
        <f>_xlfn.IFNA(VLOOKUP(A341,'[1]신고 스프레드 확인'!$A$2:$B$1000,2,FALSE),"-")</f>
        <v>-</v>
      </c>
    </row>
    <row r="342" spans="2:2" x14ac:dyDescent="0.45">
      <c r="B342" s="2" t="str">
        <f>_xlfn.IFNA(VLOOKUP(A342,'[1]신고 스프레드 확인'!$A$2:$B$1000,2,FALSE),"-")</f>
        <v>-</v>
      </c>
    </row>
    <row r="343" spans="2:2" x14ac:dyDescent="0.45">
      <c r="B343" s="2" t="str">
        <f>_xlfn.IFNA(VLOOKUP(A343,'[1]신고 스프레드 확인'!$A$2:$B$1000,2,FALSE),"-")</f>
        <v>-</v>
      </c>
    </row>
    <row r="344" spans="2:2" x14ac:dyDescent="0.45">
      <c r="B344" s="2" t="str">
        <f>_xlfn.IFNA(VLOOKUP(A344,'[1]신고 스프레드 확인'!$A$2:$B$1000,2,FALSE),"-")</f>
        <v>-</v>
      </c>
    </row>
    <row r="345" spans="2:2" x14ac:dyDescent="0.45">
      <c r="B345" s="2" t="str">
        <f>_xlfn.IFNA(VLOOKUP(A345,'[1]신고 스프레드 확인'!$A$2:$B$1000,2,FALSE),"-")</f>
        <v>-</v>
      </c>
    </row>
    <row r="346" spans="2:2" x14ac:dyDescent="0.45">
      <c r="B346" s="2" t="str">
        <f>_xlfn.IFNA(VLOOKUP(A346,'[1]신고 스프레드 확인'!$A$2:$B$1000,2,FALSE),"-")</f>
        <v>-</v>
      </c>
    </row>
    <row r="347" spans="2:2" x14ac:dyDescent="0.45">
      <c r="B347" s="2" t="str">
        <f>_xlfn.IFNA(VLOOKUP(A347,'[1]신고 스프레드 확인'!$A$2:$B$1000,2,FALSE),"-")</f>
        <v>-</v>
      </c>
    </row>
    <row r="348" spans="2:2" x14ac:dyDescent="0.45">
      <c r="B348" s="2" t="str">
        <f>_xlfn.IFNA(VLOOKUP(A348,'[1]신고 스프레드 확인'!$A$2:$B$1000,2,FALSE),"-")</f>
        <v>-</v>
      </c>
    </row>
    <row r="349" spans="2:2" x14ac:dyDescent="0.45">
      <c r="B349" s="2" t="str">
        <f>_xlfn.IFNA(VLOOKUP(A349,'[1]신고 스프레드 확인'!$A$2:$B$1000,2,FALSE),"-")</f>
        <v>-</v>
      </c>
    </row>
    <row r="350" spans="2:2" x14ac:dyDescent="0.45">
      <c r="B350" s="2" t="str">
        <f>_xlfn.IFNA(VLOOKUP(A350,'[1]신고 스프레드 확인'!$A$2:$B$1000,2,FALSE),"-")</f>
        <v>-</v>
      </c>
    </row>
    <row r="351" spans="2:2" x14ac:dyDescent="0.45">
      <c r="B351" s="2" t="str">
        <f>_xlfn.IFNA(VLOOKUP(A351,'[1]신고 스프레드 확인'!$A$2:$B$1000,2,FALSE),"-")</f>
        <v>-</v>
      </c>
    </row>
    <row r="352" spans="2:2" x14ac:dyDescent="0.45">
      <c r="B352" s="2" t="str">
        <f>_xlfn.IFNA(VLOOKUP(A352,'[1]신고 스프레드 확인'!$A$2:$B$1000,2,FALSE),"-")</f>
        <v>-</v>
      </c>
    </row>
    <row r="353" spans="2:2" x14ac:dyDescent="0.45">
      <c r="B353" s="2" t="str">
        <f>_xlfn.IFNA(VLOOKUP(A353,'[1]신고 스프레드 확인'!$A$2:$B$1000,2,FALSE),"-")</f>
        <v>-</v>
      </c>
    </row>
    <row r="354" spans="2:2" x14ac:dyDescent="0.45">
      <c r="B354" s="2" t="str">
        <f>_xlfn.IFNA(VLOOKUP(A354,'[1]신고 스프레드 확인'!$A$2:$B$1000,2,FALSE),"-")</f>
        <v>-</v>
      </c>
    </row>
    <row r="355" spans="2:2" x14ac:dyDescent="0.45">
      <c r="B355" s="2" t="str">
        <f>_xlfn.IFNA(VLOOKUP(A355,'[1]신고 스프레드 확인'!$A$2:$B$1000,2,FALSE),"-")</f>
        <v>-</v>
      </c>
    </row>
    <row r="356" spans="2:2" x14ac:dyDescent="0.45">
      <c r="B356" s="2" t="str">
        <f>_xlfn.IFNA(VLOOKUP(A356,'[1]신고 스프레드 확인'!$A$2:$B$1000,2,FALSE),"-")</f>
        <v>-</v>
      </c>
    </row>
    <row r="357" spans="2:2" x14ac:dyDescent="0.45">
      <c r="B357" s="2" t="str">
        <f>_xlfn.IFNA(VLOOKUP(A357,'[1]신고 스프레드 확인'!$A$2:$B$1000,2,FALSE),"-")</f>
        <v>-</v>
      </c>
    </row>
    <row r="358" spans="2:2" x14ac:dyDescent="0.45">
      <c r="B358" s="2" t="str">
        <f>_xlfn.IFNA(VLOOKUP(A358,'[1]신고 스프레드 확인'!$A$2:$B$1000,2,FALSE),"-")</f>
        <v>-</v>
      </c>
    </row>
    <row r="359" spans="2:2" x14ac:dyDescent="0.45">
      <c r="B359" s="2" t="str">
        <f>_xlfn.IFNA(VLOOKUP(A359,'[1]신고 스프레드 확인'!$A$2:$B$1000,2,FALSE),"-")</f>
        <v>-</v>
      </c>
    </row>
    <row r="360" spans="2:2" x14ac:dyDescent="0.45">
      <c r="B360" s="2" t="str">
        <f>_xlfn.IFNA(VLOOKUP(A360,'[1]신고 스프레드 확인'!$A$2:$B$1000,2,FALSE),"-")</f>
        <v>-</v>
      </c>
    </row>
    <row r="361" spans="2:2" x14ac:dyDescent="0.45">
      <c r="B361" s="2" t="str">
        <f>_xlfn.IFNA(VLOOKUP(A361,'[1]신고 스프레드 확인'!$A$2:$B$1000,2,FALSE),"-")</f>
        <v>-</v>
      </c>
    </row>
    <row r="362" spans="2:2" x14ac:dyDescent="0.45">
      <c r="B362" s="2" t="str">
        <f>_xlfn.IFNA(VLOOKUP(A362,'[1]신고 스프레드 확인'!$A$2:$B$1000,2,FALSE),"-")</f>
        <v>-</v>
      </c>
    </row>
    <row r="363" spans="2:2" x14ac:dyDescent="0.45">
      <c r="B363" s="2" t="str">
        <f>_xlfn.IFNA(VLOOKUP(A363,'[1]신고 스프레드 확인'!$A$2:$B$1000,2,FALSE),"-")</f>
        <v>-</v>
      </c>
    </row>
    <row r="364" spans="2:2" x14ac:dyDescent="0.45">
      <c r="B364" s="2" t="str">
        <f>_xlfn.IFNA(VLOOKUP(A364,'[1]신고 스프레드 확인'!$A$2:$B$1000,2,FALSE),"-")</f>
        <v>-</v>
      </c>
    </row>
    <row r="365" spans="2:2" x14ac:dyDescent="0.45">
      <c r="B365" s="2" t="str">
        <f>_xlfn.IFNA(VLOOKUP(A365,'[1]신고 스프레드 확인'!$A$2:$B$1000,2,FALSE),"-")</f>
        <v>-</v>
      </c>
    </row>
    <row r="366" spans="2:2" x14ac:dyDescent="0.45">
      <c r="B366" s="2" t="str">
        <f>_xlfn.IFNA(VLOOKUP(A366,'[1]신고 스프레드 확인'!$A$2:$B$1000,2,FALSE),"-")</f>
        <v>-</v>
      </c>
    </row>
    <row r="367" spans="2:2" x14ac:dyDescent="0.45">
      <c r="B367" s="2" t="str">
        <f>_xlfn.IFNA(VLOOKUP(A367,'[1]신고 스프레드 확인'!$A$2:$B$1000,2,FALSE),"-")</f>
        <v>-</v>
      </c>
    </row>
    <row r="368" spans="2:2" x14ac:dyDescent="0.45">
      <c r="B368" s="2" t="str">
        <f>_xlfn.IFNA(VLOOKUP(A368,'[1]신고 스프레드 확인'!$A$2:$B$1000,2,FALSE),"-")</f>
        <v>-</v>
      </c>
    </row>
    <row r="369" spans="2:2" x14ac:dyDescent="0.45">
      <c r="B369" s="2" t="str">
        <f>_xlfn.IFNA(VLOOKUP(A369,'[1]신고 스프레드 확인'!$A$2:$B$1000,2,FALSE),"-")</f>
        <v>-</v>
      </c>
    </row>
    <row r="370" spans="2:2" x14ac:dyDescent="0.45">
      <c r="B370" s="2" t="str">
        <f>_xlfn.IFNA(VLOOKUP(A370,'[1]신고 스프레드 확인'!$A$2:$B$1000,2,FALSE),"-")</f>
        <v>-</v>
      </c>
    </row>
    <row r="371" spans="2:2" x14ac:dyDescent="0.45">
      <c r="B371" s="2" t="str">
        <f>_xlfn.IFNA(VLOOKUP(A371,'[1]신고 스프레드 확인'!$A$2:$B$1000,2,FALSE),"-")</f>
        <v>-</v>
      </c>
    </row>
    <row r="372" spans="2:2" x14ac:dyDescent="0.45">
      <c r="B372" s="2" t="str">
        <f>_xlfn.IFNA(VLOOKUP(A372,'[1]신고 스프레드 확인'!$A$2:$B$1000,2,FALSE),"-")</f>
        <v>-</v>
      </c>
    </row>
    <row r="373" spans="2:2" x14ac:dyDescent="0.45">
      <c r="B373" s="2" t="str">
        <f>_xlfn.IFNA(VLOOKUP(A373,'[1]신고 스프레드 확인'!$A$2:$B$1000,2,FALSE),"-")</f>
        <v>-</v>
      </c>
    </row>
    <row r="374" spans="2:2" x14ac:dyDescent="0.45">
      <c r="B374" s="2" t="str">
        <f>_xlfn.IFNA(VLOOKUP(A374,'[1]신고 스프레드 확인'!$A$2:$B$1000,2,FALSE),"-")</f>
        <v>-</v>
      </c>
    </row>
    <row r="375" spans="2:2" x14ac:dyDescent="0.45">
      <c r="B375" s="2" t="str">
        <f>_xlfn.IFNA(VLOOKUP(A375,'[1]신고 스프레드 확인'!$A$2:$B$1000,2,FALSE),"-")</f>
        <v>-</v>
      </c>
    </row>
    <row r="376" spans="2:2" x14ac:dyDescent="0.45">
      <c r="B376" s="2" t="str">
        <f>_xlfn.IFNA(VLOOKUP(A376,'[1]신고 스프레드 확인'!$A$2:$B$1000,2,FALSE),"-")</f>
        <v>-</v>
      </c>
    </row>
    <row r="377" spans="2:2" x14ac:dyDescent="0.45">
      <c r="B377" s="2" t="str">
        <f>_xlfn.IFNA(VLOOKUP(A377,'[1]신고 스프레드 확인'!$A$2:$B$1000,2,FALSE),"-")</f>
        <v>-</v>
      </c>
    </row>
    <row r="378" spans="2:2" x14ac:dyDescent="0.45">
      <c r="B378" s="2" t="str">
        <f>_xlfn.IFNA(VLOOKUP(A378,'[1]신고 스프레드 확인'!$A$2:$B$1000,2,FALSE),"-")</f>
        <v>-</v>
      </c>
    </row>
    <row r="379" spans="2:2" x14ac:dyDescent="0.45">
      <c r="B379" s="2" t="str">
        <f>_xlfn.IFNA(VLOOKUP(A379,'[1]신고 스프레드 확인'!$A$2:$B$1000,2,FALSE),"-")</f>
        <v>-</v>
      </c>
    </row>
    <row r="380" spans="2:2" x14ac:dyDescent="0.45">
      <c r="B380" s="2" t="str">
        <f>_xlfn.IFNA(VLOOKUP(A380,'[1]신고 스프레드 확인'!$A$2:$B$1000,2,FALSE),"-")</f>
        <v>-</v>
      </c>
    </row>
    <row r="381" spans="2:2" x14ac:dyDescent="0.45">
      <c r="B381" s="2" t="str">
        <f>_xlfn.IFNA(VLOOKUP(A381,'[1]신고 스프레드 확인'!$A$2:$B$1000,2,FALSE),"-")</f>
        <v>-</v>
      </c>
    </row>
    <row r="382" spans="2:2" x14ac:dyDescent="0.45">
      <c r="B382" s="2" t="str">
        <f>_xlfn.IFNA(VLOOKUP(A382,'[1]신고 스프레드 확인'!$A$2:$B$1000,2,FALSE),"-")</f>
        <v>-</v>
      </c>
    </row>
    <row r="383" spans="2:2" x14ac:dyDescent="0.45">
      <c r="B383" s="2" t="str">
        <f>_xlfn.IFNA(VLOOKUP(A383,'[1]신고 스프레드 확인'!$A$2:$B$1000,2,FALSE),"-")</f>
        <v>-</v>
      </c>
    </row>
    <row r="384" spans="2:2" x14ac:dyDescent="0.45">
      <c r="B384" s="2" t="str">
        <f>_xlfn.IFNA(VLOOKUP(A384,'[1]신고 스프레드 확인'!$A$2:$B$1000,2,FALSE),"-")</f>
        <v>-</v>
      </c>
    </row>
    <row r="385" spans="2:2" x14ac:dyDescent="0.45">
      <c r="B385" s="2" t="str">
        <f>_xlfn.IFNA(VLOOKUP(A385,'[1]신고 스프레드 확인'!$A$2:$B$1000,2,FALSE),"-")</f>
        <v>-</v>
      </c>
    </row>
    <row r="386" spans="2:2" x14ac:dyDescent="0.45">
      <c r="B386" s="2" t="str">
        <f>_xlfn.IFNA(VLOOKUP(A386,'[1]신고 스프레드 확인'!$A$2:$B$1000,2,FALSE),"-")</f>
        <v>-</v>
      </c>
    </row>
    <row r="387" spans="2:2" x14ac:dyDescent="0.45">
      <c r="B387" s="2" t="str">
        <f>_xlfn.IFNA(VLOOKUP(A387,'[1]신고 스프레드 확인'!$A$2:$B$1000,2,FALSE),"-")</f>
        <v>-</v>
      </c>
    </row>
    <row r="388" spans="2:2" x14ac:dyDescent="0.45">
      <c r="B388" s="2" t="str">
        <f>_xlfn.IFNA(VLOOKUP(A388,'[1]신고 스프레드 확인'!$A$2:$B$1000,2,FALSE),"-")</f>
        <v>-</v>
      </c>
    </row>
    <row r="389" spans="2:2" x14ac:dyDescent="0.45">
      <c r="B389" s="2" t="str">
        <f>_xlfn.IFNA(VLOOKUP(A389,'[1]신고 스프레드 확인'!$A$2:$B$1000,2,FALSE),"-")</f>
        <v>-</v>
      </c>
    </row>
    <row r="390" spans="2:2" x14ac:dyDescent="0.45">
      <c r="B390" s="2" t="str">
        <f>_xlfn.IFNA(VLOOKUP(A390,'[1]신고 스프레드 확인'!$A$2:$B$1000,2,FALSE),"-")</f>
        <v>-</v>
      </c>
    </row>
    <row r="391" spans="2:2" x14ac:dyDescent="0.45">
      <c r="B391" s="2" t="str">
        <f>_xlfn.IFNA(VLOOKUP(A391,'[1]신고 스프레드 확인'!$A$2:$B$1000,2,FALSE),"-")</f>
        <v>-</v>
      </c>
    </row>
    <row r="392" spans="2:2" x14ac:dyDescent="0.45">
      <c r="B392" s="2" t="str">
        <f>_xlfn.IFNA(VLOOKUP(A392,'[1]신고 스프레드 확인'!$A$2:$B$1000,2,FALSE),"-")</f>
        <v>-</v>
      </c>
    </row>
    <row r="393" spans="2:2" x14ac:dyDescent="0.45">
      <c r="B393" s="2" t="str">
        <f>_xlfn.IFNA(VLOOKUP(A393,'[1]신고 스프레드 확인'!$A$2:$B$1000,2,FALSE),"-")</f>
        <v>-</v>
      </c>
    </row>
    <row r="394" spans="2:2" x14ac:dyDescent="0.45">
      <c r="B394" s="2" t="str">
        <f>_xlfn.IFNA(VLOOKUP(A394,'[1]신고 스프레드 확인'!$A$2:$B$1000,2,FALSE),"-")</f>
        <v>-</v>
      </c>
    </row>
    <row r="395" spans="2:2" x14ac:dyDescent="0.45">
      <c r="B395" s="2" t="str">
        <f>_xlfn.IFNA(VLOOKUP(A395,'[1]신고 스프레드 확인'!$A$2:$B$1000,2,FALSE),"-")</f>
        <v>-</v>
      </c>
    </row>
    <row r="396" spans="2:2" x14ac:dyDescent="0.45">
      <c r="B396" s="2" t="str">
        <f>_xlfn.IFNA(VLOOKUP(A396,'[1]신고 스프레드 확인'!$A$2:$B$1000,2,FALSE),"-")</f>
        <v>-</v>
      </c>
    </row>
    <row r="397" spans="2:2" x14ac:dyDescent="0.45">
      <c r="B397" s="2" t="str">
        <f>_xlfn.IFNA(VLOOKUP(A397,'[1]신고 스프레드 확인'!$A$2:$B$1000,2,FALSE),"-")</f>
        <v>-</v>
      </c>
    </row>
    <row r="398" spans="2:2" x14ac:dyDescent="0.45">
      <c r="B398" s="2" t="str">
        <f>_xlfn.IFNA(VLOOKUP(A398,'[1]신고 스프레드 확인'!$A$2:$B$1000,2,FALSE),"-")</f>
        <v>-</v>
      </c>
    </row>
    <row r="399" spans="2:2" x14ac:dyDescent="0.45">
      <c r="B399" s="2" t="str">
        <f>_xlfn.IFNA(VLOOKUP(A399,'[1]신고 스프레드 확인'!$A$2:$B$1000,2,FALSE),"-")</f>
        <v>-</v>
      </c>
    </row>
    <row r="400" spans="2:2" x14ac:dyDescent="0.45">
      <c r="B400" s="2" t="str">
        <f>_xlfn.IFNA(VLOOKUP(A400,'[1]신고 스프레드 확인'!$A$2:$B$1000,2,FALSE),"-")</f>
        <v>-</v>
      </c>
    </row>
    <row r="401" spans="2:2" x14ac:dyDescent="0.45">
      <c r="B401" s="2" t="str">
        <f>_xlfn.IFNA(VLOOKUP(A401,'[1]신고 스프레드 확인'!$A$2:$B$1000,2,FALSE),"-")</f>
        <v>-</v>
      </c>
    </row>
    <row r="402" spans="2:2" x14ac:dyDescent="0.45">
      <c r="B402" s="2" t="str">
        <f>_xlfn.IFNA(VLOOKUP(A402,'[1]신고 스프레드 확인'!$A$2:$B$1000,2,FALSE),"-")</f>
        <v>-</v>
      </c>
    </row>
    <row r="403" spans="2:2" x14ac:dyDescent="0.45">
      <c r="B403" s="2" t="str">
        <f>_xlfn.IFNA(VLOOKUP(A403,'[1]신고 스프레드 확인'!$A$2:$B$1000,2,FALSE),"-")</f>
        <v>-</v>
      </c>
    </row>
    <row r="404" spans="2:2" x14ac:dyDescent="0.45">
      <c r="B404" s="2" t="str">
        <f>_xlfn.IFNA(VLOOKUP(A404,'[1]신고 스프레드 확인'!$A$2:$B$1000,2,FALSE),"-")</f>
        <v>-</v>
      </c>
    </row>
    <row r="405" spans="2:2" x14ac:dyDescent="0.45">
      <c r="B405" s="2" t="str">
        <f>_xlfn.IFNA(VLOOKUP(A405,'[1]신고 스프레드 확인'!$A$2:$B$1000,2,FALSE),"-")</f>
        <v>-</v>
      </c>
    </row>
    <row r="406" spans="2:2" x14ac:dyDescent="0.45">
      <c r="B406" s="2" t="str">
        <f>_xlfn.IFNA(VLOOKUP(A406,'[1]신고 스프레드 확인'!$A$2:$B$1000,2,FALSE),"-")</f>
        <v>-</v>
      </c>
    </row>
    <row r="407" spans="2:2" x14ac:dyDescent="0.45">
      <c r="B407" s="2" t="str">
        <f>_xlfn.IFNA(VLOOKUP(A407,'[1]신고 스프레드 확인'!$A$2:$B$1000,2,FALSE),"-")</f>
        <v>-</v>
      </c>
    </row>
    <row r="408" spans="2:2" x14ac:dyDescent="0.45">
      <c r="B408" s="2" t="str">
        <f>_xlfn.IFNA(VLOOKUP(A408,'[1]신고 스프레드 확인'!$A$2:$B$1000,2,FALSE),"-")</f>
        <v>-</v>
      </c>
    </row>
    <row r="409" spans="2:2" x14ac:dyDescent="0.45">
      <c r="B409" s="2" t="str">
        <f>_xlfn.IFNA(VLOOKUP(A409,'[1]신고 스프레드 확인'!$A$2:$B$1000,2,FALSE),"-")</f>
        <v>-</v>
      </c>
    </row>
    <row r="410" spans="2:2" x14ac:dyDescent="0.45">
      <c r="B410" s="2" t="str">
        <f>_xlfn.IFNA(VLOOKUP(A410,'[1]신고 스프레드 확인'!$A$2:$B$1000,2,FALSE),"-")</f>
        <v>-</v>
      </c>
    </row>
    <row r="411" spans="2:2" x14ac:dyDescent="0.45">
      <c r="B411" s="2" t="str">
        <f>_xlfn.IFNA(VLOOKUP(A411,'[1]신고 스프레드 확인'!$A$2:$B$1000,2,FALSE),"-")</f>
        <v>-</v>
      </c>
    </row>
    <row r="412" spans="2:2" x14ac:dyDescent="0.45">
      <c r="B412" s="2" t="str">
        <f>_xlfn.IFNA(VLOOKUP(A412,'[1]신고 스프레드 확인'!$A$2:$B$1000,2,FALSE),"-")</f>
        <v>-</v>
      </c>
    </row>
    <row r="413" spans="2:2" x14ac:dyDescent="0.45">
      <c r="B413" s="2" t="str">
        <f>_xlfn.IFNA(VLOOKUP(A413,'[1]신고 스프레드 확인'!$A$2:$B$1000,2,FALSE),"-")</f>
        <v>-</v>
      </c>
    </row>
    <row r="414" spans="2:2" x14ac:dyDescent="0.45">
      <c r="B414" s="2" t="str">
        <f>_xlfn.IFNA(VLOOKUP(A414,'[1]신고 스프레드 확인'!$A$2:$B$1000,2,FALSE),"-")</f>
        <v>-</v>
      </c>
    </row>
    <row r="415" spans="2:2" x14ac:dyDescent="0.45">
      <c r="B415" s="2" t="str">
        <f>_xlfn.IFNA(VLOOKUP(A415,'[1]신고 스프레드 확인'!$A$2:$B$1000,2,FALSE),"-")</f>
        <v>-</v>
      </c>
    </row>
    <row r="416" spans="2:2" x14ac:dyDescent="0.45">
      <c r="B416" s="2" t="str">
        <f>_xlfn.IFNA(VLOOKUP(A416,'[1]신고 스프레드 확인'!$A$2:$B$1000,2,FALSE),"-")</f>
        <v>-</v>
      </c>
    </row>
    <row r="417" spans="2:2" x14ac:dyDescent="0.45">
      <c r="B417" s="2" t="str">
        <f>_xlfn.IFNA(VLOOKUP(A417,'[1]신고 스프레드 확인'!$A$2:$B$1000,2,FALSE),"-")</f>
        <v>-</v>
      </c>
    </row>
    <row r="418" spans="2:2" x14ac:dyDescent="0.45">
      <c r="B418" s="2" t="str">
        <f>_xlfn.IFNA(VLOOKUP(A418,'[1]신고 스프레드 확인'!$A$2:$B$1000,2,FALSE),"-")</f>
        <v>-</v>
      </c>
    </row>
    <row r="419" spans="2:2" x14ac:dyDescent="0.45">
      <c r="B419" s="2" t="str">
        <f>_xlfn.IFNA(VLOOKUP(A419,'[1]신고 스프레드 확인'!$A$2:$B$1000,2,FALSE),"-")</f>
        <v>-</v>
      </c>
    </row>
    <row r="420" spans="2:2" x14ac:dyDescent="0.45">
      <c r="B420" s="2" t="str">
        <f>_xlfn.IFNA(VLOOKUP(A420,'[1]신고 스프레드 확인'!$A$2:$B$1000,2,FALSE),"-")</f>
        <v>-</v>
      </c>
    </row>
    <row r="421" spans="2:2" x14ac:dyDescent="0.45">
      <c r="B421" s="2" t="str">
        <f>_xlfn.IFNA(VLOOKUP(A421,'[1]신고 스프레드 확인'!$A$2:$B$1000,2,FALSE),"-")</f>
        <v>-</v>
      </c>
    </row>
    <row r="422" spans="2:2" x14ac:dyDescent="0.45">
      <c r="B422" s="2" t="str">
        <f>_xlfn.IFNA(VLOOKUP(A422,'[1]신고 스프레드 확인'!$A$2:$B$1000,2,FALSE),"-")</f>
        <v>-</v>
      </c>
    </row>
    <row r="423" spans="2:2" x14ac:dyDescent="0.45">
      <c r="B423" s="2" t="str">
        <f>_xlfn.IFNA(VLOOKUP(A423,'[1]신고 스프레드 확인'!$A$2:$B$1000,2,FALSE),"-")</f>
        <v>-</v>
      </c>
    </row>
    <row r="424" spans="2:2" x14ac:dyDescent="0.45">
      <c r="B424" s="2" t="str">
        <f>_xlfn.IFNA(VLOOKUP(A424,'[1]신고 스프레드 확인'!$A$2:$B$1000,2,FALSE),"-")</f>
        <v>-</v>
      </c>
    </row>
    <row r="425" spans="2:2" x14ac:dyDescent="0.45">
      <c r="B425" s="2" t="str">
        <f>_xlfn.IFNA(VLOOKUP(A425,'[1]신고 스프레드 확인'!$A$2:$B$1000,2,FALSE),"-")</f>
        <v>-</v>
      </c>
    </row>
    <row r="426" spans="2:2" x14ac:dyDescent="0.45">
      <c r="B426" s="2" t="str">
        <f>_xlfn.IFNA(VLOOKUP(A426,'[1]신고 스프레드 확인'!$A$2:$B$1000,2,FALSE),"-")</f>
        <v>-</v>
      </c>
    </row>
    <row r="427" spans="2:2" x14ac:dyDescent="0.45">
      <c r="B427" s="2" t="str">
        <f>_xlfn.IFNA(VLOOKUP(A427,'[1]신고 스프레드 확인'!$A$2:$B$1000,2,FALSE),"-")</f>
        <v>-</v>
      </c>
    </row>
    <row r="428" spans="2:2" x14ac:dyDescent="0.45">
      <c r="B428" s="2" t="str">
        <f>_xlfn.IFNA(VLOOKUP(A428,'[1]신고 스프레드 확인'!$A$2:$B$1000,2,FALSE),"-")</f>
        <v>-</v>
      </c>
    </row>
    <row r="429" spans="2:2" x14ac:dyDescent="0.45">
      <c r="B429" s="2" t="str">
        <f>_xlfn.IFNA(VLOOKUP(A429,'[1]신고 스프레드 확인'!$A$2:$B$1000,2,FALSE),"-")</f>
        <v>-</v>
      </c>
    </row>
    <row r="430" spans="2:2" x14ac:dyDescent="0.45">
      <c r="B430" s="2" t="str">
        <f>_xlfn.IFNA(VLOOKUP(A430,'[1]신고 스프레드 확인'!$A$2:$B$1000,2,FALSE),"-")</f>
        <v>-</v>
      </c>
    </row>
    <row r="431" spans="2:2" x14ac:dyDescent="0.45">
      <c r="B431" s="2" t="str">
        <f>_xlfn.IFNA(VLOOKUP(A431,'[1]신고 스프레드 확인'!$A$2:$B$1000,2,FALSE),"-")</f>
        <v>-</v>
      </c>
    </row>
    <row r="432" spans="2:2" x14ac:dyDescent="0.45">
      <c r="B432" s="2" t="str">
        <f>_xlfn.IFNA(VLOOKUP(A432,'[1]신고 스프레드 확인'!$A$2:$B$1000,2,FALSE),"-")</f>
        <v>-</v>
      </c>
    </row>
    <row r="433" spans="2:2" x14ac:dyDescent="0.45">
      <c r="B433" s="2" t="str">
        <f>_xlfn.IFNA(VLOOKUP(A433,'[1]신고 스프레드 확인'!$A$2:$B$1000,2,FALSE),"-")</f>
        <v>-</v>
      </c>
    </row>
    <row r="434" spans="2:2" x14ac:dyDescent="0.45">
      <c r="B434" s="2" t="str">
        <f>_xlfn.IFNA(VLOOKUP(A434,'[1]신고 스프레드 확인'!$A$2:$B$1000,2,FALSE),"-")</f>
        <v>-</v>
      </c>
    </row>
    <row r="435" spans="2:2" x14ac:dyDescent="0.45">
      <c r="B435" s="2" t="str">
        <f>_xlfn.IFNA(VLOOKUP(A435,'[1]신고 스프레드 확인'!$A$2:$B$1000,2,FALSE),"-")</f>
        <v>-</v>
      </c>
    </row>
    <row r="436" spans="2:2" x14ac:dyDescent="0.45">
      <c r="B436" s="2" t="str">
        <f>_xlfn.IFNA(VLOOKUP(A436,'[1]신고 스프레드 확인'!$A$2:$B$1000,2,FALSE),"-")</f>
        <v>-</v>
      </c>
    </row>
    <row r="437" spans="2:2" x14ac:dyDescent="0.45">
      <c r="B437" s="2" t="str">
        <f>_xlfn.IFNA(VLOOKUP(A437,'[1]신고 스프레드 확인'!$A$2:$B$1000,2,FALSE),"-")</f>
        <v>-</v>
      </c>
    </row>
    <row r="438" spans="2:2" x14ac:dyDescent="0.45">
      <c r="B438" s="2" t="str">
        <f>_xlfn.IFNA(VLOOKUP(A438,'[1]신고 스프레드 확인'!$A$2:$B$1000,2,FALSE),"-")</f>
        <v>-</v>
      </c>
    </row>
    <row r="439" spans="2:2" x14ac:dyDescent="0.45">
      <c r="B439" s="2" t="str">
        <f>_xlfn.IFNA(VLOOKUP(A439,'[1]신고 스프레드 확인'!$A$2:$B$1000,2,FALSE),"-")</f>
        <v>-</v>
      </c>
    </row>
    <row r="440" spans="2:2" x14ac:dyDescent="0.45">
      <c r="B440" s="2" t="str">
        <f>_xlfn.IFNA(VLOOKUP(A440,'[1]신고 스프레드 확인'!$A$2:$B$1000,2,FALSE),"-")</f>
        <v>-</v>
      </c>
    </row>
    <row r="441" spans="2:2" x14ac:dyDescent="0.45">
      <c r="B441" s="2" t="str">
        <f>_xlfn.IFNA(VLOOKUP(A441,'[1]신고 스프레드 확인'!$A$2:$B$1000,2,FALSE),"-")</f>
        <v>-</v>
      </c>
    </row>
    <row r="442" spans="2:2" x14ac:dyDescent="0.45">
      <c r="B442" s="2" t="str">
        <f>_xlfn.IFNA(VLOOKUP(A442,'[1]신고 스프레드 확인'!$A$2:$B$1000,2,FALSE),"-")</f>
        <v>-</v>
      </c>
    </row>
    <row r="443" spans="2:2" x14ac:dyDescent="0.45">
      <c r="B443" s="2" t="str">
        <f>_xlfn.IFNA(VLOOKUP(A443,'[1]신고 스프레드 확인'!$A$2:$B$1000,2,FALSE),"-")</f>
        <v>-</v>
      </c>
    </row>
    <row r="444" spans="2:2" x14ac:dyDescent="0.45">
      <c r="B444" s="2" t="str">
        <f>_xlfn.IFNA(VLOOKUP(A444,'[1]신고 스프레드 확인'!$A$2:$B$1000,2,FALSE),"-")</f>
        <v>-</v>
      </c>
    </row>
    <row r="445" spans="2:2" x14ac:dyDescent="0.45">
      <c r="B445" s="2" t="str">
        <f>_xlfn.IFNA(VLOOKUP(A445,'[1]신고 스프레드 확인'!$A$2:$B$1000,2,FALSE),"-")</f>
        <v>-</v>
      </c>
    </row>
    <row r="446" spans="2:2" x14ac:dyDescent="0.45">
      <c r="B446" s="2" t="str">
        <f>_xlfn.IFNA(VLOOKUP(A446,'[1]신고 스프레드 확인'!$A$2:$B$1000,2,FALSE),"-")</f>
        <v>-</v>
      </c>
    </row>
    <row r="447" spans="2:2" x14ac:dyDescent="0.45">
      <c r="B447" s="2" t="str">
        <f>_xlfn.IFNA(VLOOKUP(A447,'[1]신고 스프레드 확인'!$A$2:$B$1000,2,FALSE),"-")</f>
        <v>-</v>
      </c>
    </row>
    <row r="448" spans="2:2" x14ac:dyDescent="0.45">
      <c r="B448" s="2" t="str">
        <f>_xlfn.IFNA(VLOOKUP(A448,'[1]신고 스프레드 확인'!$A$2:$B$1000,2,FALSE),"-")</f>
        <v>-</v>
      </c>
    </row>
    <row r="449" spans="2:2" x14ac:dyDescent="0.45">
      <c r="B449" s="2" t="str">
        <f>_xlfn.IFNA(VLOOKUP(A449,'[1]신고 스프레드 확인'!$A$2:$B$1000,2,FALSE),"-")</f>
        <v>-</v>
      </c>
    </row>
    <row r="450" spans="2:2" x14ac:dyDescent="0.45">
      <c r="B450" s="2" t="str">
        <f>_xlfn.IFNA(VLOOKUP(A450,'[1]신고 스프레드 확인'!$A$2:$B$1000,2,FALSE),"-")</f>
        <v>-</v>
      </c>
    </row>
    <row r="451" spans="2:2" x14ac:dyDescent="0.45">
      <c r="B451" s="2" t="str">
        <f>_xlfn.IFNA(VLOOKUP(A451,'[1]신고 스프레드 확인'!$A$2:$B$1000,2,FALSE),"-")</f>
        <v>-</v>
      </c>
    </row>
    <row r="452" spans="2:2" x14ac:dyDescent="0.45">
      <c r="B452" s="2" t="str">
        <f>_xlfn.IFNA(VLOOKUP(A452,'[1]신고 스프레드 확인'!$A$2:$B$1000,2,FALSE),"-")</f>
        <v>-</v>
      </c>
    </row>
    <row r="453" spans="2:2" x14ac:dyDescent="0.45">
      <c r="B453" s="2" t="str">
        <f>_xlfn.IFNA(VLOOKUP(A453,'[1]신고 스프레드 확인'!$A$2:$B$1000,2,FALSE),"-")</f>
        <v>-</v>
      </c>
    </row>
    <row r="454" spans="2:2" x14ac:dyDescent="0.45">
      <c r="B454" s="2" t="str">
        <f>_xlfn.IFNA(VLOOKUP(A454,'[1]신고 스프레드 확인'!$A$2:$B$1000,2,FALSE),"-")</f>
        <v>-</v>
      </c>
    </row>
    <row r="455" spans="2:2" x14ac:dyDescent="0.45">
      <c r="B455" s="2" t="str">
        <f>_xlfn.IFNA(VLOOKUP(A455,'[1]신고 스프레드 확인'!$A$2:$B$1000,2,FALSE),"-")</f>
        <v>-</v>
      </c>
    </row>
    <row r="456" spans="2:2" x14ac:dyDescent="0.45">
      <c r="B456" s="2" t="str">
        <f>_xlfn.IFNA(VLOOKUP(A456,'[1]신고 스프레드 확인'!$A$2:$B$1000,2,FALSE),"-")</f>
        <v>-</v>
      </c>
    </row>
    <row r="457" spans="2:2" x14ac:dyDescent="0.45">
      <c r="B457" s="2" t="str">
        <f>_xlfn.IFNA(VLOOKUP(A457,'[1]신고 스프레드 확인'!$A$2:$B$1000,2,FALSE),"-")</f>
        <v>-</v>
      </c>
    </row>
    <row r="458" spans="2:2" x14ac:dyDescent="0.45">
      <c r="B458" s="2" t="str">
        <f>_xlfn.IFNA(VLOOKUP(A458,'[1]신고 스프레드 확인'!$A$2:$B$1000,2,FALSE),"-")</f>
        <v>-</v>
      </c>
    </row>
    <row r="459" spans="2:2" x14ac:dyDescent="0.45">
      <c r="B459" s="2" t="str">
        <f>_xlfn.IFNA(VLOOKUP(A459,'[1]신고 스프레드 확인'!$A$2:$B$1000,2,FALSE),"-")</f>
        <v>-</v>
      </c>
    </row>
    <row r="460" spans="2:2" x14ac:dyDescent="0.45">
      <c r="B460" s="2" t="str">
        <f>_xlfn.IFNA(VLOOKUP(A460,'[1]신고 스프레드 확인'!$A$2:$B$1000,2,FALSE),"-")</f>
        <v>-</v>
      </c>
    </row>
    <row r="461" spans="2:2" x14ac:dyDescent="0.45">
      <c r="B461" s="2" t="str">
        <f>_xlfn.IFNA(VLOOKUP(A461,'[1]신고 스프레드 확인'!$A$2:$B$1000,2,FALSE),"-")</f>
        <v>-</v>
      </c>
    </row>
    <row r="462" spans="2:2" x14ac:dyDescent="0.45">
      <c r="B462" s="2" t="str">
        <f>_xlfn.IFNA(VLOOKUP(A462,'[1]신고 스프레드 확인'!$A$2:$B$1000,2,FALSE),"-")</f>
        <v>-</v>
      </c>
    </row>
    <row r="463" spans="2:2" x14ac:dyDescent="0.45">
      <c r="B463" s="2" t="str">
        <f>_xlfn.IFNA(VLOOKUP(A463,'[1]신고 스프레드 확인'!$A$2:$B$1000,2,FALSE),"-")</f>
        <v>-</v>
      </c>
    </row>
    <row r="464" spans="2:2" x14ac:dyDescent="0.45">
      <c r="B464" s="2" t="str">
        <f>_xlfn.IFNA(VLOOKUP(A464,'[1]신고 스프레드 확인'!$A$2:$B$1000,2,FALSE),"-")</f>
        <v>-</v>
      </c>
    </row>
    <row r="465" spans="2:2" x14ac:dyDescent="0.45">
      <c r="B465" s="2" t="str">
        <f>_xlfn.IFNA(VLOOKUP(A465,'[1]신고 스프레드 확인'!$A$2:$B$1000,2,FALSE),"-")</f>
        <v>-</v>
      </c>
    </row>
    <row r="466" spans="2:2" x14ac:dyDescent="0.45">
      <c r="B466" s="2" t="str">
        <f>_xlfn.IFNA(VLOOKUP(A466,'[1]신고 스프레드 확인'!$A$2:$B$1000,2,FALSE),"-")</f>
        <v>-</v>
      </c>
    </row>
    <row r="467" spans="2:2" x14ac:dyDescent="0.45">
      <c r="B467" s="2" t="str">
        <f>_xlfn.IFNA(VLOOKUP(A467,'[1]신고 스프레드 확인'!$A$2:$B$1000,2,FALSE),"-")</f>
        <v>-</v>
      </c>
    </row>
    <row r="468" spans="2:2" x14ac:dyDescent="0.45">
      <c r="B468" s="2" t="str">
        <f>_xlfn.IFNA(VLOOKUP(A468,'[1]신고 스프레드 확인'!$A$2:$B$1000,2,FALSE),"-")</f>
        <v>-</v>
      </c>
    </row>
    <row r="469" spans="2:2" x14ac:dyDescent="0.45">
      <c r="B469" s="2" t="str">
        <f>_xlfn.IFNA(VLOOKUP(A469,'[1]신고 스프레드 확인'!$A$2:$B$1000,2,FALSE),"-")</f>
        <v>-</v>
      </c>
    </row>
    <row r="470" spans="2:2" x14ac:dyDescent="0.45">
      <c r="B470" s="2" t="str">
        <f>_xlfn.IFNA(VLOOKUP(A470,'[1]신고 스프레드 확인'!$A$2:$B$1000,2,FALSE),"-")</f>
        <v>-</v>
      </c>
    </row>
    <row r="471" spans="2:2" x14ac:dyDescent="0.45">
      <c r="B471" s="2" t="str">
        <f>_xlfn.IFNA(VLOOKUP(A471,'[1]신고 스프레드 확인'!$A$2:$B$1000,2,FALSE),"-")</f>
        <v>-</v>
      </c>
    </row>
    <row r="472" spans="2:2" x14ac:dyDescent="0.45">
      <c r="B472" s="2" t="str">
        <f>_xlfn.IFNA(VLOOKUP(A472,'[1]신고 스프레드 확인'!$A$2:$B$1000,2,FALSE),"-")</f>
        <v>-</v>
      </c>
    </row>
    <row r="473" spans="2:2" x14ac:dyDescent="0.45">
      <c r="B473" s="2" t="str">
        <f>_xlfn.IFNA(VLOOKUP(A473,'[1]신고 스프레드 확인'!$A$2:$B$1000,2,FALSE),"-")</f>
        <v>-</v>
      </c>
    </row>
    <row r="474" spans="2:2" x14ac:dyDescent="0.45">
      <c r="B474" s="2" t="str">
        <f>_xlfn.IFNA(VLOOKUP(A474,'[1]신고 스프레드 확인'!$A$2:$B$1000,2,FALSE),"-")</f>
        <v>-</v>
      </c>
    </row>
    <row r="475" spans="2:2" x14ac:dyDescent="0.45">
      <c r="B475" s="2" t="str">
        <f>_xlfn.IFNA(VLOOKUP(A475,'[1]신고 스프레드 확인'!$A$2:$B$1000,2,FALSE),"-")</f>
        <v>-</v>
      </c>
    </row>
    <row r="476" spans="2:2" x14ac:dyDescent="0.45">
      <c r="B476" s="2" t="str">
        <f>_xlfn.IFNA(VLOOKUP(A476,'[1]신고 스프레드 확인'!$A$2:$B$1000,2,FALSE),"-")</f>
        <v>-</v>
      </c>
    </row>
    <row r="477" spans="2:2" x14ac:dyDescent="0.45">
      <c r="B477" s="2" t="str">
        <f>_xlfn.IFNA(VLOOKUP(A477,'[1]신고 스프레드 확인'!$A$2:$B$1000,2,FALSE),"-")</f>
        <v>-</v>
      </c>
    </row>
    <row r="478" spans="2:2" x14ac:dyDescent="0.45">
      <c r="B478" s="2" t="str">
        <f>_xlfn.IFNA(VLOOKUP(A478,'[1]신고 스프레드 확인'!$A$2:$B$1000,2,FALSE),"-")</f>
        <v>-</v>
      </c>
    </row>
    <row r="479" spans="2:2" x14ac:dyDescent="0.45">
      <c r="B479" s="2" t="str">
        <f>_xlfn.IFNA(VLOOKUP(A479,'[1]신고 스프레드 확인'!$A$2:$B$1000,2,FALSE),"-")</f>
        <v>-</v>
      </c>
    </row>
    <row r="480" spans="2:2" x14ac:dyDescent="0.45">
      <c r="B480" s="2" t="str">
        <f>_xlfn.IFNA(VLOOKUP(A480,'[1]신고 스프레드 확인'!$A$2:$B$1000,2,FALSE),"-")</f>
        <v>-</v>
      </c>
    </row>
    <row r="481" spans="2:2" x14ac:dyDescent="0.45">
      <c r="B481" s="2" t="str">
        <f>_xlfn.IFNA(VLOOKUP(A481,'[1]신고 스프레드 확인'!$A$2:$B$1000,2,FALSE),"-")</f>
        <v>-</v>
      </c>
    </row>
    <row r="482" spans="2:2" x14ac:dyDescent="0.45">
      <c r="B482" s="2" t="str">
        <f>_xlfn.IFNA(VLOOKUP(A482,'[1]신고 스프레드 확인'!$A$2:$B$1000,2,FALSE),"-")</f>
        <v>-</v>
      </c>
    </row>
    <row r="483" spans="2:2" x14ac:dyDescent="0.45">
      <c r="B483" s="2" t="str">
        <f>_xlfn.IFNA(VLOOKUP(A483,'[1]신고 스프레드 확인'!$A$2:$B$1000,2,FALSE),"-")</f>
        <v>-</v>
      </c>
    </row>
    <row r="484" spans="2:2" x14ac:dyDescent="0.45">
      <c r="B484" s="2" t="str">
        <f>_xlfn.IFNA(VLOOKUP(A484,'[1]신고 스프레드 확인'!$A$2:$B$1000,2,FALSE),"-")</f>
        <v>-</v>
      </c>
    </row>
    <row r="485" spans="2:2" x14ac:dyDescent="0.45">
      <c r="B485" s="2" t="str">
        <f>_xlfn.IFNA(VLOOKUP(A485,'[1]신고 스프레드 확인'!$A$2:$B$1000,2,FALSE),"-")</f>
        <v>-</v>
      </c>
    </row>
    <row r="486" spans="2:2" x14ac:dyDescent="0.45">
      <c r="B486" s="2" t="str">
        <f>_xlfn.IFNA(VLOOKUP(A486,'[1]신고 스프레드 확인'!$A$2:$B$1000,2,FALSE),"-")</f>
        <v>-</v>
      </c>
    </row>
    <row r="487" spans="2:2" x14ac:dyDescent="0.45">
      <c r="B487" s="2" t="str">
        <f>_xlfn.IFNA(VLOOKUP(A487,'[1]신고 스프레드 확인'!$A$2:$B$1000,2,FALSE),"-")</f>
        <v>-</v>
      </c>
    </row>
    <row r="488" spans="2:2" x14ac:dyDescent="0.45">
      <c r="B488" s="2" t="str">
        <f>_xlfn.IFNA(VLOOKUP(A488,'[1]신고 스프레드 확인'!$A$2:$B$1000,2,FALSE),"-")</f>
        <v>-</v>
      </c>
    </row>
    <row r="489" spans="2:2" x14ac:dyDescent="0.45">
      <c r="B489" s="2" t="str">
        <f>_xlfn.IFNA(VLOOKUP(A489,'[1]신고 스프레드 확인'!$A$2:$B$1000,2,FALSE),"-")</f>
        <v>-</v>
      </c>
    </row>
    <row r="490" spans="2:2" x14ac:dyDescent="0.45">
      <c r="B490" s="2" t="str">
        <f>_xlfn.IFNA(VLOOKUP(A490,'[1]신고 스프레드 확인'!$A$2:$B$1000,2,FALSE),"-")</f>
        <v>-</v>
      </c>
    </row>
    <row r="491" spans="2:2" x14ac:dyDescent="0.45">
      <c r="B491" s="2" t="str">
        <f>_xlfn.IFNA(VLOOKUP(A491,'[1]신고 스프레드 확인'!$A$2:$B$1000,2,FALSE),"-")</f>
        <v>-</v>
      </c>
    </row>
    <row r="492" spans="2:2" x14ac:dyDescent="0.45">
      <c r="B492" s="2" t="str">
        <f>_xlfn.IFNA(VLOOKUP(A492,'[1]신고 스프레드 확인'!$A$2:$B$1000,2,FALSE),"-")</f>
        <v>-</v>
      </c>
    </row>
    <row r="493" spans="2:2" x14ac:dyDescent="0.45">
      <c r="B493" s="2" t="str">
        <f>_xlfn.IFNA(VLOOKUP(A493,'[1]신고 스프레드 확인'!$A$2:$B$1000,2,FALSE),"-")</f>
        <v>-</v>
      </c>
    </row>
    <row r="494" spans="2:2" x14ac:dyDescent="0.45">
      <c r="B494" s="2" t="str">
        <f>_xlfn.IFNA(VLOOKUP(A494,'[1]신고 스프레드 확인'!$A$2:$B$1000,2,FALSE),"-")</f>
        <v>-</v>
      </c>
    </row>
    <row r="495" spans="2:2" x14ac:dyDescent="0.45">
      <c r="B495" s="2" t="str">
        <f>_xlfn.IFNA(VLOOKUP(A495,'[1]신고 스프레드 확인'!$A$2:$B$1000,2,FALSE),"-")</f>
        <v>-</v>
      </c>
    </row>
    <row r="496" spans="2:2" x14ac:dyDescent="0.45">
      <c r="B496" s="2" t="str">
        <f>_xlfn.IFNA(VLOOKUP(A496,'[1]신고 스프레드 확인'!$A$2:$B$1000,2,FALSE),"-")</f>
        <v>-</v>
      </c>
    </row>
    <row r="497" spans="2:2" x14ac:dyDescent="0.45">
      <c r="B497" s="2" t="str">
        <f>_xlfn.IFNA(VLOOKUP(A497,'[1]신고 스프레드 확인'!$A$2:$B$1000,2,FALSE),"-")</f>
        <v>-</v>
      </c>
    </row>
    <row r="498" spans="2:2" x14ac:dyDescent="0.45">
      <c r="B498" s="2" t="str">
        <f>_xlfn.IFNA(VLOOKUP(A498,'[1]신고 스프레드 확인'!$A$2:$B$1000,2,FALSE),"-")</f>
        <v>-</v>
      </c>
    </row>
    <row r="499" spans="2:2" x14ac:dyDescent="0.45">
      <c r="B499" s="2" t="str">
        <f>_xlfn.IFNA(VLOOKUP(A499,'[1]신고 스프레드 확인'!$A$2:$B$1000,2,FALSE),"-")</f>
        <v>-</v>
      </c>
    </row>
    <row r="500" spans="2:2" x14ac:dyDescent="0.45">
      <c r="B500" s="2" t="str">
        <f>_xlfn.IFNA(VLOOKUP(A500,'[1]신고 스프레드 확인'!$A$2:$B$1000,2,FALSE),"-")</f>
        <v>-</v>
      </c>
    </row>
    <row r="501" spans="2:2" x14ac:dyDescent="0.45">
      <c r="B501" s="2" t="str">
        <f>_xlfn.IFNA(VLOOKUP(A501,'[1]신고 스프레드 확인'!$A$2:$B$1000,2,FALSE),"-")</f>
        <v>-</v>
      </c>
    </row>
    <row r="502" spans="2:2" x14ac:dyDescent="0.45">
      <c r="B502" s="2" t="str">
        <f>_xlfn.IFNA(VLOOKUP(A502,'[1]신고 스프레드 확인'!$A$2:$B$1000,2,FALSE),"-")</f>
        <v>-</v>
      </c>
    </row>
    <row r="503" spans="2:2" x14ac:dyDescent="0.45">
      <c r="B503" s="2" t="str">
        <f>_xlfn.IFNA(VLOOKUP(A503,'[1]신고 스프레드 확인'!$A$2:$B$1000,2,FALSE),"-")</f>
        <v>-</v>
      </c>
    </row>
    <row r="504" spans="2:2" x14ac:dyDescent="0.45">
      <c r="B504" s="2" t="str">
        <f>_xlfn.IFNA(VLOOKUP(A504,'[1]신고 스프레드 확인'!$A$2:$B$1000,2,FALSE),"-")</f>
        <v>-</v>
      </c>
    </row>
    <row r="505" spans="2:2" x14ac:dyDescent="0.45">
      <c r="B505" s="2" t="str">
        <f>_xlfn.IFNA(VLOOKUP(A505,'[1]신고 스프레드 확인'!$A$2:$B$1000,2,FALSE),"-")</f>
        <v>-</v>
      </c>
    </row>
    <row r="506" spans="2:2" x14ac:dyDescent="0.45">
      <c r="B506" s="2" t="str">
        <f>_xlfn.IFNA(VLOOKUP(A506,'[1]신고 스프레드 확인'!$A$2:$B$1000,2,FALSE),"-")</f>
        <v>-</v>
      </c>
    </row>
    <row r="507" spans="2:2" x14ac:dyDescent="0.45">
      <c r="B507" s="2" t="str">
        <f>_xlfn.IFNA(VLOOKUP(A507,'[1]신고 스프레드 확인'!$A$2:$B$1000,2,FALSE),"-")</f>
        <v>-</v>
      </c>
    </row>
    <row r="508" spans="2:2" x14ac:dyDescent="0.45">
      <c r="B508" s="2" t="str">
        <f>_xlfn.IFNA(VLOOKUP(A508,'[1]신고 스프레드 확인'!$A$2:$B$1000,2,FALSE),"-")</f>
        <v>-</v>
      </c>
    </row>
    <row r="509" spans="2:2" x14ac:dyDescent="0.45">
      <c r="B509" s="2" t="str">
        <f>_xlfn.IFNA(VLOOKUP(A509,'[1]신고 스프레드 확인'!$A$2:$B$1000,2,FALSE),"-")</f>
        <v>-</v>
      </c>
    </row>
    <row r="510" spans="2:2" x14ac:dyDescent="0.45">
      <c r="B510" s="2" t="str">
        <f>_xlfn.IFNA(VLOOKUP(A510,'[1]신고 스프레드 확인'!$A$2:$B$1000,2,FALSE),"-")</f>
        <v>-</v>
      </c>
    </row>
    <row r="511" spans="2:2" x14ac:dyDescent="0.45">
      <c r="B511" s="2" t="str">
        <f>_xlfn.IFNA(VLOOKUP(A511,'[1]신고 스프레드 확인'!$A$2:$B$1000,2,FALSE),"-")</f>
        <v>-</v>
      </c>
    </row>
    <row r="512" spans="2:2" x14ac:dyDescent="0.45">
      <c r="B512" s="2" t="str">
        <f>_xlfn.IFNA(VLOOKUP(A512,'[1]신고 스프레드 확인'!$A$2:$B$1000,2,FALSE),"-")</f>
        <v>-</v>
      </c>
    </row>
    <row r="513" spans="2:2" x14ac:dyDescent="0.45">
      <c r="B513" s="2" t="str">
        <f>_xlfn.IFNA(VLOOKUP(A513,'[1]신고 스프레드 확인'!$A$2:$B$1000,2,FALSE),"-")</f>
        <v>-</v>
      </c>
    </row>
    <row r="514" spans="2:2" x14ac:dyDescent="0.45">
      <c r="B514" s="2" t="str">
        <f>_xlfn.IFNA(VLOOKUP(A514,'[1]신고 스프레드 확인'!$A$2:$B$1000,2,FALSE),"-")</f>
        <v>-</v>
      </c>
    </row>
    <row r="515" spans="2:2" x14ac:dyDescent="0.45">
      <c r="B515" s="2" t="str">
        <f>_xlfn.IFNA(VLOOKUP(A515,'[1]신고 스프레드 확인'!$A$2:$B$1000,2,FALSE),"-")</f>
        <v>-</v>
      </c>
    </row>
    <row r="516" spans="2:2" x14ac:dyDescent="0.45">
      <c r="B516" s="2" t="str">
        <f>_xlfn.IFNA(VLOOKUP(A516,'[1]신고 스프레드 확인'!$A$2:$B$1000,2,FALSE),"-")</f>
        <v>-</v>
      </c>
    </row>
    <row r="517" spans="2:2" x14ac:dyDescent="0.45">
      <c r="B517" s="2" t="str">
        <f>_xlfn.IFNA(VLOOKUP(A517,'[1]신고 스프레드 확인'!$A$2:$B$1000,2,FALSE),"-")</f>
        <v>-</v>
      </c>
    </row>
    <row r="518" spans="2:2" x14ac:dyDescent="0.45">
      <c r="B518" s="2" t="str">
        <f>_xlfn.IFNA(VLOOKUP(A518,'[1]신고 스프레드 확인'!$A$2:$B$1000,2,FALSE),"-")</f>
        <v>-</v>
      </c>
    </row>
    <row r="519" spans="2:2" x14ac:dyDescent="0.45">
      <c r="B519" s="2" t="str">
        <f>_xlfn.IFNA(VLOOKUP(A519,'[1]신고 스프레드 확인'!$A$2:$B$1000,2,FALSE),"-")</f>
        <v>-</v>
      </c>
    </row>
    <row r="520" spans="2:2" x14ac:dyDescent="0.45">
      <c r="B520" s="2" t="str">
        <f>_xlfn.IFNA(VLOOKUP(A520,'[1]신고 스프레드 확인'!$A$2:$B$1000,2,FALSE),"-")</f>
        <v>-</v>
      </c>
    </row>
    <row r="521" spans="2:2" x14ac:dyDescent="0.45">
      <c r="B521" s="2" t="str">
        <f>_xlfn.IFNA(VLOOKUP(A521,'[1]신고 스프레드 확인'!$A$2:$B$1000,2,FALSE),"-")</f>
        <v>-</v>
      </c>
    </row>
    <row r="522" spans="2:2" x14ac:dyDescent="0.45">
      <c r="B522" s="2" t="str">
        <f>_xlfn.IFNA(VLOOKUP(A522,'[1]신고 스프레드 확인'!$A$2:$B$1000,2,FALSE),"-")</f>
        <v>-</v>
      </c>
    </row>
    <row r="523" spans="2:2" x14ac:dyDescent="0.45">
      <c r="B523" s="2" t="str">
        <f>_xlfn.IFNA(VLOOKUP(A523,'[1]신고 스프레드 확인'!$A$2:$B$1000,2,FALSE),"-")</f>
        <v>-</v>
      </c>
    </row>
    <row r="524" spans="2:2" x14ac:dyDescent="0.45">
      <c r="B524" s="2" t="str">
        <f>_xlfn.IFNA(VLOOKUP(A524,'[1]신고 스프레드 확인'!$A$2:$B$1000,2,FALSE),"-")</f>
        <v>-</v>
      </c>
    </row>
    <row r="525" spans="2:2" x14ac:dyDescent="0.45">
      <c r="B525" s="2" t="str">
        <f>_xlfn.IFNA(VLOOKUP(A525,'[1]신고 스프레드 확인'!$A$2:$B$1000,2,FALSE),"-")</f>
        <v>-</v>
      </c>
    </row>
    <row r="526" spans="2:2" x14ac:dyDescent="0.45">
      <c r="B526" s="2" t="str">
        <f>_xlfn.IFNA(VLOOKUP(A526,'[1]신고 스프레드 확인'!$A$2:$B$1000,2,FALSE),"-")</f>
        <v>-</v>
      </c>
    </row>
    <row r="527" spans="2:2" x14ac:dyDescent="0.45">
      <c r="B527" s="2" t="str">
        <f>_xlfn.IFNA(VLOOKUP(A527,'[1]신고 스프레드 확인'!$A$2:$B$1000,2,FALSE),"-")</f>
        <v>-</v>
      </c>
    </row>
    <row r="528" spans="2:2" x14ac:dyDescent="0.45">
      <c r="B528" s="2" t="str">
        <f>_xlfn.IFNA(VLOOKUP(A528,'[1]신고 스프레드 확인'!$A$2:$B$1000,2,FALSE),"-")</f>
        <v>-</v>
      </c>
    </row>
    <row r="529" spans="2:2" x14ac:dyDescent="0.45">
      <c r="B529" s="2" t="str">
        <f>_xlfn.IFNA(VLOOKUP(A529,'[1]신고 스프레드 확인'!$A$2:$B$1000,2,FALSE),"-")</f>
        <v>-</v>
      </c>
    </row>
    <row r="530" spans="2:2" x14ac:dyDescent="0.45">
      <c r="B530" s="2" t="str">
        <f>_xlfn.IFNA(VLOOKUP(A530,'[1]신고 스프레드 확인'!$A$2:$B$1000,2,FALSE),"-")</f>
        <v>-</v>
      </c>
    </row>
    <row r="531" spans="2:2" x14ac:dyDescent="0.45">
      <c r="B531" s="2" t="str">
        <f>_xlfn.IFNA(VLOOKUP(A531,'[1]신고 스프레드 확인'!$A$2:$B$1000,2,FALSE),"-")</f>
        <v>-</v>
      </c>
    </row>
    <row r="532" spans="2:2" x14ac:dyDescent="0.45">
      <c r="B532" s="2" t="str">
        <f>_xlfn.IFNA(VLOOKUP(A532,'[1]신고 스프레드 확인'!$A$2:$B$1000,2,FALSE),"-")</f>
        <v>-</v>
      </c>
    </row>
    <row r="533" spans="2:2" x14ac:dyDescent="0.45">
      <c r="B533" s="2" t="str">
        <f>_xlfn.IFNA(VLOOKUP(A533,'[1]신고 스프레드 확인'!$A$2:$B$1000,2,FALSE),"-")</f>
        <v>-</v>
      </c>
    </row>
    <row r="534" spans="2:2" x14ac:dyDescent="0.45">
      <c r="B534" s="2" t="str">
        <f>_xlfn.IFNA(VLOOKUP(A534,'[1]신고 스프레드 확인'!$A$2:$B$1000,2,FALSE),"-")</f>
        <v>-</v>
      </c>
    </row>
    <row r="535" spans="2:2" x14ac:dyDescent="0.45">
      <c r="B535" s="2" t="str">
        <f>_xlfn.IFNA(VLOOKUP(A535,'[1]신고 스프레드 확인'!$A$2:$B$1000,2,FALSE),"-")</f>
        <v>-</v>
      </c>
    </row>
    <row r="536" spans="2:2" x14ac:dyDescent="0.45">
      <c r="B536" s="2" t="str">
        <f>_xlfn.IFNA(VLOOKUP(A536,'[1]신고 스프레드 확인'!$A$2:$B$1000,2,FALSE),"-")</f>
        <v>-</v>
      </c>
    </row>
    <row r="537" spans="2:2" x14ac:dyDescent="0.45">
      <c r="B537" s="2" t="str">
        <f>_xlfn.IFNA(VLOOKUP(A537,'[1]신고 스프레드 확인'!$A$2:$B$1000,2,FALSE),"-")</f>
        <v>-</v>
      </c>
    </row>
    <row r="538" spans="2:2" x14ac:dyDescent="0.45">
      <c r="B538" s="2" t="str">
        <f>_xlfn.IFNA(VLOOKUP(A538,'[1]신고 스프레드 확인'!$A$2:$B$1000,2,FALSE),"-")</f>
        <v>-</v>
      </c>
    </row>
    <row r="539" spans="2:2" x14ac:dyDescent="0.45">
      <c r="B539" s="2" t="str">
        <f>_xlfn.IFNA(VLOOKUP(A539,'[1]신고 스프레드 확인'!$A$2:$B$1000,2,FALSE),"-")</f>
        <v>-</v>
      </c>
    </row>
    <row r="540" spans="2:2" x14ac:dyDescent="0.45">
      <c r="B540" s="2" t="str">
        <f>_xlfn.IFNA(VLOOKUP(A540,'[1]신고 스프레드 확인'!$A$2:$B$1000,2,FALSE),"-")</f>
        <v>-</v>
      </c>
    </row>
    <row r="541" spans="2:2" x14ac:dyDescent="0.45">
      <c r="B541" s="2" t="str">
        <f>_xlfn.IFNA(VLOOKUP(A541,'[1]신고 스프레드 확인'!$A$2:$B$1000,2,FALSE),"-")</f>
        <v>-</v>
      </c>
    </row>
    <row r="542" spans="2:2" x14ac:dyDescent="0.45">
      <c r="B542" s="2" t="str">
        <f>_xlfn.IFNA(VLOOKUP(A542,'[1]신고 스프레드 확인'!$A$2:$B$1000,2,FALSE),"-")</f>
        <v>-</v>
      </c>
    </row>
    <row r="543" spans="2:2" x14ac:dyDescent="0.45">
      <c r="B543" s="2" t="str">
        <f>_xlfn.IFNA(VLOOKUP(A543,'[1]신고 스프레드 확인'!$A$2:$B$1000,2,FALSE),"-")</f>
        <v>-</v>
      </c>
    </row>
    <row r="544" spans="2:2" x14ac:dyDescent="0.45">
      <c r="B544" s="2" t="str">
        <f>_xlfn.IFNA(VLOOKUP(A544,'[1]신고 스프레드 확인'!$A$2:$B$1000,2,FALSE),"-")</f>
        <v>-</v>
      </c>
    </row>
    <row r="545" spans="2:2" x14ac:dyDescent="0.45">
      <c r="B545" s="2" t="str">
        <f>_xlfn.IFNA(VLOOKUP(A545,'[1]신고 스프레드 확인'!$A$2:$B$1000,2,FALSE),"-")</f>
        <v>-</v>
      </c>
    </row>
    <row r="546" spans="2:2" x14ac:dyDescent="0.45">
      <c r="B546" s="2" t="str">
        <f>_xlfn.IFNA(VLOOKUP(A546,'[1]신고 스프레드 확인'!$A$2:$B$1000,2,FALSE),"-")</f>
        <v>-</v>
      </c>
    </row>
    <row r="547" spans="2:2" x14ac:dyDescent="0.45">
      <c r="B547" s="2" t="str">
        <f>_xlfn.IFNA(VLOOKUP(A547,'[1]신고 스프레드 확인'!$A$2:$B$1000,2,FALSE),"-")</f>
        <v>-</v>
      </c>
    </row>
    <row r="548" spans="2:2" x14ac:dyDescent="0.45">
      <c r="B548" s="2" t="str">
        <f>_xlfn.IFNA(VLOOKUP(A548,'[1]신고 스프레드 확인'!$A$2:$B$1000,2,FALSE),"-")</f>
        <v>-</v>
      </c>
    </row>
    <row r="549" spans="2:2" x14ac:dyDescent="0.45">
      <c r="B549" s="2" t="str">
        <f>_xlfn.IFNA(VLOOKUP(A549,'[1]신고 스프레드 확인'!$A$2:$B$1000,2,FALSE),"-")</f>
        <v>-</v>
      </c>
    </row>
    <row r="550" spans="2:2" x14ac:dyDescent="0.45">
      <c r="B550" s="2" t="str">
        <f>_xlfn.IFNA(VLOOKUP(A550,'[1]신고 스프레드 확인'!$A$2:$B$1000,2,FALSE),"-")</f>
        <v>-</v>
      </c>
    </row>
    <row r="551" spans="2:2" x14ac:dyDescent="0.45">
      <c r="B551" s="2" t="str">
        <f>_xlfn.IFNA(VLOOKUP(A551,'[1]신고 스프레드 확인'!$A$2:$B$1000,2,FALSE),"-")</f>
        <v>-</v>
      </c>
    </row>
    <row r="552" spans="2:2" x14ac:dyDescent="0.45">
      <c r="B552" s="2" t="str">
        <f>_xlfn.IFNA(VLOOKUP(A552,'[1]신고 스프레드 확인'!$A$2:$B$1000,2,FALSE),"-")</f>
        <v>-</v>
      </c>
    </row>
    <row r="553" spans="2:2" x14ac:dyDescent="0.45">
      <c r="B553" s="2" t="str">
        <f>_xlfn.IFNA(VLOOKUP(A553,'[1]신고 스프레드 확인'!$A$2:$B$1000,2,FALSE),"-")</f>
        <v>-</v>
      </c>
    </row>
    <row r="554" spans="2:2" x14ac:dyDescent="0.45">
      <c r="B554" s="2" t="str">
        <f>_xlfn.IFNA(VLOOKUP(A554,'[1]신고 스프레드 확인'!$A$2:$B$1000,2,FALSE),"-")</f>
        <v>-</v>
      </c>
    </row>
    <row r="555" spans="2:2" x14ac:dyDescent="0.45">
      <c r="B555" s="2" t="str">
        <f>_xlfn.IFNA(VLOOKUP(A555,'[1]신고 스프레드 확인'!$A$2:$B$1000,2,FALSE),"-")</f>
        <v>-</v>
      </c>
    </row>
    <row r="556" spans="2:2" x14ac:dyDescent="0.45">
      <c r="B556" s="2" t="str">
        <f>_xlfn.IFNA(VLOOKUP(A556,'[1]신고 스프레드 확인'!$A$2:$B$1000,2,FALSE),"-")</f>
        <v>-</v>
      </c>
    </row>
    <row r="557" spans="2:2" x14ac:dyDescent="0.45">
      <c r="B557" s="2" t="str">
        <f>_xlfn.IFNA(VLOOKUP(A557,'[1]신고 스프레드 확인'!$A$2:$B$1000,2,FALSE),"-")</f>
        <v>-</v>
      </c>
    </row>
    <row r="558" spans="2:2" x14ac:dyDescent="0.45">
      <c r="B558" s="2" t="str">
        <f>_xlfn.IFNA(VLOOKUP(A558,'[1]신고 스프레드 확인'!$A$2:$B$1000,2,FALSE),"-")</f>
        <v>-</v>
      </c>
    </row>
    <row r="559" spans="2:2" x14ac:dyDescent="0.45">
      <c r="B559" s="2" t="str">
        <f>_xlfn.IFNA(VLOOKUP(A559,'[1]신고 스프레드 확인'!$A$2:$B$1000,2,FALSE),"-")</f>
        <v>-</v>
      </c>
    </row>
    <row r="560" spans="2:2" x14ac:dyDescent="0.45">
      <c r="B560" s="2" t="str">
        <f>_xlfn.IFNA(VLOOKUP(A560,'[1]신고 스프레드 확인'!$A$2:$B$1000,2,FALSE),"-")</f>
        <v>-</v>
      </c>
    </row>
    <row r="561" spans="2:2" x14ac:dyDescent="0.45">
      <c r="B561" s="2" t="str">
        <f>_xlfn.IFNA(VLOOKUP(A561,'[1]신고 스프레드 확인'!$A$2:$B$1000,2,FALSE),"-")</f>
        <v>-</v>
      </c>
    </row>
    <row r="562" spans="2:2" x14ac:dyDescent="0.45">
      <c r="B562" s="2" t="str">
        <f>_xlfn.IFNA(VLOOKUP(A562,'[1]신고 스프레드 확인'!$A$2:$B$1000,2,FALSE),"-")</f>
        <v>-</v>
      </c>
    </row>
    <row r="563" spans="2:2" x14ac:dyDescent="0.45">
      <c r="B563" s="2" t="str">
        <f>_xlfn.IFNA(VLOOKUP(A563,'[1]신고 스프레드 확인'!$A$2:$B$1000,2,FALSE),"-")</f>
        <v>-</v>
      </c>
    </row>
    <row r="564" spans="2:2" x14ac:dyDescent="0.45">
      <c r="B564" s="2" t="str">
        <f>_xlfn.IFNA(VLOOKUP(A564,'[1]신고 스프레드 확인'!$A$2:$B$1000,2,FALSE),"-")</f>
        <v>-</v>
      </c>
    </row>
    <row r="565" spans="2:2" x14ac:dyDescent="0.45">
      <c r="B565" s="2" t="str">
        <f>_xlfn.IFNA(VLOOKUP(A565,'[1]신고 스프레드 확인'!$A$2:$B$1000,2,FALSE),"-")</f>
        <v>-</v>
      </c>
    </row>
    <row r="566" spans="2:2" x14ac:dyDescent="0.45">
      <c r="B566" s="2" t="str">
        <f>_xlfn.IFNA(VLOOKUP(A566,'[1]신고 스프레드 확인'!$A$2:$B$1000,2,FALSE),"-")</f>
        <v>-</v>
      </c>
    </row>
    <row r="567" spans="2:2" x14ac:dyDescent="0.45">
      <c r="B567" s="2" t="str">
        <f>_xlfn.IFNA(VLOOKUP(A567,'[1]신고 스프레드 확인'!$A$2:$B$1000,2,FALSE),"-")</f>
        <v>-</v>
      </c>
    </row>
    <row r="568" spans="2:2" x14ac:dyDescent="0.45">
      <c r="B568" s="2" t="str">
        <f>_xlfn.IFNA(VLOOKUP(A568,'[1]신고 스프레드 확인'!$A$2:$B$1000,2,FALSE),"-")</f>
        <v>-</v>
      </c>
    </row>
    <row r="569" spans="2:2" x14ac:dyDescent="0.45">
      <c r="B569" s="2" t="str">
        <f>_xlfn.IFNA(VLOOKUP(A569,'[1]신고 스프레드 확인'!$A$2:$B$1000,2,FALSE),"-")</f>
        <v>-</v>
      </c>
    </row>
    <row r="570" spans="2:2" x14ac:dyDescent="0.45">
      <c r="B570" s="2" t="str">
        <f>_xlfn.IFNA(VLOOKUP(A570,'[1]신고 스프레드 확인'!$A$2:$B$1000,2,FALSE),"-")</f>
        <v>-</v>
      </c>
    </row>
    <row r="571" spans="2:2" x14ac:dyDescent="0.45">
      <c r="B571" s="2" t="str">
        <f>_xlfn.IFNA(VLOOKUP(A571,'[1]신고 스프레드 확인'!$A$2:$B$1000,2,FALSE),"-")</f>
        <v>-</v>
      </c>
    </row>
    <row r="572" spans="2:2" x14ac:dyDescent="0.45">
      <c r="B572" s="2" t="str">
        <f>_xlfn.IFNA(VLOOKUP(A572,'[1]신고 스프레드 확인'!$A$2:$B$1000,2,FALSE),"-")</f>
        <v>-</v>
      </c>
    </row>
    <row r="573" spans="2:2" x14ac:dyDescent="0.45">
      <c r="B573" s="2" t="str">
        <f>_xlfn.IFNA(VLOOKUP(A573,'[1]신고 스프레드 확인'!$A$2:$B$1000,2,FALSE),"-")</f>
        <v>-</v>
      </c>
    </row>
    <row r="574" spans="2:2" x14ac:dyDescent="0.45">
      <c r="B574" s="2" t="str">
        <f>_xlfn.IFNA(VLOOKUP(A574,'[1]신고 스프레드 확인'!$A$2:$B$1000,2,FALSE),"-")</f>
        <v>-</v>
      </c>
    </row>
    <row r="575" spans="2:2" x14ac:dyDescent="0.45">
      <c r="B575" s="2" t="str">
        <f>_xlfn.IFNA(VLOOKUP(A575,'[1]신고 스프레드 확인'!$A$2:$B$1000,2,FALSE),"-")</f>
        <v>-</v>
      </c>
    </row>
    <row r="576" spans="2:2" x14ac:dyDescent="0.45">
      <c r="B576" s="2" t="str">
        <f>_xlfn.IFNA(VLOOKUP(A576,'[1]신고 스프레드 확인'!$A$2:$B$1000,2,FALSE),"-")</f>
        <v>-</v>
      </c>
    </row>
    <row r="577" spans="2:2" x14ac:dyDescent="0.45">
      <c r="B577" s="2" t="str">
        <f>_xlfn.IFNA(VLOOKUP(A577,'[1]신고 스프레드 확인'!$A$2:$B$1000,2,FALSE),"-")</f>
        <v>-</v>
      </c>
    </row>
    <row r="578" spans="2:2" x14ac:dyDescent="0.45">
      <c r="B578" s="2" t="str">
        <f>_xlfn.IFNA(VLOOKUP(A578,'[1]신고 스프레드 확인'!$A$2:$B$1000,2,FALSE),"-")</f>
        <v>-</v>
      </c>
    </row>
    <row r="579" spans="2:2" x14ac:dyDescent="0.45">
      <c r="B579" s="2" t="str">
        <f>_xlfn.IFNA(VLOOKUP(A579,'[1]신고 스프레드 확인'!$A$2:$B$1000,2,FALSE),"-")</f>
        <v>-</v>
      </c>
    </row>
    <row r="580" spans="2:2" x14ac:dyDescent="0.45">
      <c r="B580" s="2" t="str">
        <f>_xlfn.IFNA(VLOOKUP(A580,'[1]신고 스프레드 확인'!$A$2:$B$1000,2,FALSE),"-")</f>
        <v>-</v>
      </c>
    </row>
    <row r="581" spans="2:2" x14ac:dyDescent="0.45">
      <c r="B581" s="2" t="str">
        <f>_xlfn.IFNA(VLOOKUP(A581,'[1]신고 스프레드 확인'!$A$2:$B$1000,2,FALSE),"-")</f>
        <v>-</v>
      </c>
    </row>
    <row r="582" spans="2:2" x14ac:dyDescent="0.45">
      <c r="B582" s="2" t="str">
        <f>_xlfn.IFNA(VLOOKUP(A582,'[1]신고 스프레드 확인'!$A$2:$B$1000,2,FALSE),"-")</f>
        <v>-</v>
      </c>
    </row>
    <row r="583" spans="2:2" x14ac:dyDescent="0.45">
      <c r="B583" s="2" t="str">
        <f>_xlfn.IFNA(VLOOKUP(A583,'[1]신고 스프레드 확인'!$A$2:$B$1000,2,FALSE),"-")</f>
        <v>-</v>
      </c>
    </row>
    <row r="584" spans="2:2" x14ac:dyDescent="0.45">
      <c r="B584" s="2" t="str">
        <f>_xlfn.IFNA(VLOOKUP(A584,'[1]신고 스프레드 확인'!$A$2:$B$1000,2,FALSE),"-")</f>
        <v>-</v>
      </c>
    </row>
    <row r="585" spans="2:2" x14ac:dyDescent="0.45">
      <c r="B585" s="2" t="str">
        <f>_xlfn.IFNA(VLOOKUP(A585,'[1]신고 스프레드 확인'!$A$2:$B$1000,2,FALSE),"-")</f>
        <v>-</v>
      </c>
    </row>
    <row r="586" spans="2:2" x14ac:dyDescent="0.45">
      <c r="B586" s="2" t="str">
        <f>_xlfn.IFNA(VLOOKUP(A586,'[1]신고 스프레드 확인'!$A$2:$B$1000,2,FALSE),"-")</f>
        <v>-</v>
      </c>
    </row>
    <row r="587" spans="2:2" x14ac:dyDescent="0.45">
      <c r="B587" s="2" t="str">
        <f>_xlfn.IFNA(VLOOKUP(A587,'[1]신고 스프레드 확인'!$A$2:$B$1000,2,FALSE),"-")</f>
        <v>-</v>
      </c>
    </row>
    <row r="588" spans="2:2" x14ac:dyDescent="0.45">
      <c r="B588" s="2" t="str">
        <f>_xlfn.IFNA(VLOOKUP(A588,'[1]신고 스프레드 확인'!$A$2:$B$1000,2,FALSE),"-")</f>
        <v>-</v>
      </c>
    </row>
    <row r="589" spans="2:2" x14ac:dyDescent="0.45">
      <c r="B589" s="2" t="str">
        <f>_xlfn.IFNA(VLOOKUP(A589,'[1]신고 스프레드 확인'!$A$2:$B$1000,2,FALSE),"-")</f>
        <v>-</v>
      </c>
    </row>
    <row r="590" spans="2:2" x14ac:dyDescent="0.45">
      <c r="B590" s="2" t="str">
        <f>_xlfn.IFNA(VLOOKUP(A590,'[1]신고 스프레드 확인'!$A$2:$B$1000,2,FALSE),"-")</f>
        <v>-</v>
      </c>
    </row>
    <row r="591" spans="2:2" x14ac:dyDescent="0.45">
      <c r="B591" s="2" t="str">
        <f>_xlfn.IFNA(VLOOKUP(A591,'[1]신고 스프레드 확인'!$A$2:$B$1000,2,FALSE),"-")</f>
        <v>-</v>
      </c>
    </row>
    <row r="592" spans="2:2" x14ac:dyDescent="0.45">
      <c r="B592" s="2" t="str">
        <f>_xlfn.IFNA(VLOOKUP(A592,'[1]신고 스프레드 확인'!$A$2:$B$1000,2,FALSE),"-")</f>
        <v>-</v>
      </c>
    </row>
    <row r="593" spans="2:2" x14ac:dyDescent="0.45">
      <c r="B593" s="2" t="str">
        <f>_xlfn.IFNA(VLOOKUP(A593,'[1]신고 스프레드 확인'!$A$2:$B$1000,2,FALSE),"-")</f>
        <v>-</v>
      </c>
    </row>
    <row r="594" spans="2:2" x14ac:dyDescent="0.45">
      <c r="B594" s="2" t="str">
        <f>_xlfn.IFNA(VLOOKUP(A594,'[1]신고 스프레드 확인'!$A$2:$B$1000,2,FALSE),"-")</f>
        <v>-</v>
      </c>
    </row>
    <row r="595" spans="2:2" x14ac:dyDescent="0.45">
      <c r="B595" s="2" t="str">
        <f>_xlfn.IFNA(VLOOKUP(A595,'[1]신고 스프레드 확인'!$A$2:$B$1000,2,FALSE),"-")</f>
        <v>-</v>
      </c>
    </row>
    <row r="596" spans="2:2" x14ac:dyDescent="0.45">
      <c r="B596" s="2" t="str">
        <f>_xlfn.IFNA(VLOOKUP(A596,'[1]신고 스프레드 확인'!$A$2:$B$1000,2,FALSE),"-")</f>
        <v>-</v>
      </c>
    </row>
    <row r="597" spans="2:2" x14ac:dyDescent="0.45">
      <c r="B597" s="2" t="str">
        <f>_xlfn.IFNA(VLOOKUP(A597,'[1]신고 스프레드 확인'!$A$2:$B$1000,2,FALSE),"-")</f>
        <v>-</v>
      </c>
    </row>
    <row r="598" spans="2:2" x14ac:dyDescent="0.45">
      <c r="B598" s="2" t="str">
        <f>_xlfn.IFNA(VLOOKUP(A598,'[1]신고 스프레드 확인'!$A$2:$B$1000,2,FALSE),"-")</f>
        <v>-</v>
      </c>
    </row>
    <row r="599" spans="2:2" x14ac:dyDescent="0.45">
      <c r="B599" s="2" t="str">
        <f>_xlfn.IFNA(VLOOKUP(A599,'[1]신고 스프레드 확인'!$A$2:$B$1000,2,FALSE),"-")</f>
        <v>-</v>
      </c>
    </row>
    <row r="600" spans="2:2" x14ac:dyDescent="0.45">
      <c r="B600" s="2" t="str">
        <f>_xlfn.IFNA(VLOOKUP(A600,'[1]신고 스프레드 확인'!$A$2:$B$1000,2,FALSE),"-")</f>
        <v>-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신고 스프레드 확인</vt:lpstr>
      <vt:lpstr>기록</vt:lpstr>
      <vt:lpstr>1시간 이상 초과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</dc:creator>
  <cp:lastModifiedBy>BAHAMA</cp:lastModifiedBy>
  <dcterms:created xsi:type="dcterms:W3CDTF">2022-04-13T08:22:19Z</dcterms:created>
  <dcterms:modified xsi:type="dcterms:W3CDTF">2022-04-17T07:31:23Z</dcterms:modified>
</cp:coreProperties>
</file>